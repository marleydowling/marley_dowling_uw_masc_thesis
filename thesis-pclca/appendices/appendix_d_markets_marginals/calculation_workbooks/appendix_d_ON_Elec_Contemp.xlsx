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ON_Elec_Contemp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58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0" fillId="0" borderId="17" pivotButton="0" quotePrefix="0" xfId="0"/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165" fontId="4" fillId="0" borderId="11" applyAlignment="1" pivotButton="0" quotePrefix="0" xfId="2">
      <alignment horizontal="center"/>
    </xf>
    <xf numFmtId="164" fontId="2" fillId="0" borderId="0" pivotButton="0" quotePrefix="0" xfId="1"/>
    <xf numFmtId="164" fontId="3" fillId="0" borderId="0" applyAlignment="1" pivotButton="0" quotePrefix="0" xfId="1">
      <alignment horizontal="center"/>
    </xf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tc={A3F51B90-66F4-4756-8CA3-44D9165DEE18}</author>
    <author>tc={29794FA0-55F4-4EBB-97A7-FB6CA927F15A}</author>
  </authors>
  <commentLis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https://consequential-lca.org/clca/marginal-suppliers/the-special-case-of-electricity/example-marginal-electricity-in-denmark/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https://www.cer-rec.gc.ca/en/data-analysis/energy-markets/market-snapshots/2025/market-snapshot-overview-of-canada-us-energy-trade.html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L2" sqref="I2:L11"/>
    </sheetView>
  </sheetViews>
  <sheetFormatPr baseColWidth="8" defaultColWidth="8.81640625" defaultRowHeight="14.5"/>
  <cols>
    <col width="21.36328125" customWidth="1" min="1" max="1"/>
    <col width="11.453125" customWidth="1" min="2" max="2"/>
    <col width="10.1796875" bestFit="1" customWidth="1" min="3" max="3"/>
    <col width="8.1796875" bestFit="1" customWidth="1" min="4" max="4"/>
    <col width="24.7265625" bestFit="1" customWidth="1" min="5" max="5"/>
    <col width="10" bestFit="1" customWidth="1" min="6" max="6"/>
    <col width="40" bestFit="1" customWidth="1" min="7" max="7"/>
  </cols>
  <sheetData>
    <row r="1">
      <c r="A1" s="1" t="inlineStr">
        <is>
          <t>Input data</t>
        </is>
      </c>
      <c r="B1" s="2" t="n"/>
      <c r="C1" s="2" t="n"/>
      <c r="D1" s="3" t="n"/>
      <c r="E1" s="235" t="inlineStr">
        <is>
          <t>Intermediate calculations</t>
        </is>
      </c>
      <c r="F1" s="250" t="n"/>
      <c r="G1" s="237" t="inlineStr">
        <is>
          <t>Long-Run Marginal Shares</t>
        </is>
      </c>
    </row>
    <row r="2">
      <c r="A2" s="4" t="inlineStr">
        <is>
          <t>Supplier</t>
        </is>
      </c>
      <c r="B2" s="5" t="inlineStr">
        <is>
          <t>GWh 2025</t>
        </is>
      </c>
      <c r="C2" s="5" t="inlineStr">
        <is>
          <t>GWh 2030</t>
        </is>
      </c>
      <c r="D2" s="5" t="inlineStr">
        <is>
          <t>Lifetime</t>
        </is>
      </c>
      <c r="E2" s="28" t="inlineStr">
        <is>
          <t>Net change over horizon (ΔV)</t>
        </is>
      </c>
      <c r="F2" s="28" t="inlineStr">
        <is>
          <t>Positive ΔV</t>
        </is>
      </c>
      <c r="G2" s="28" t="inlineStr">
        <is>
          <t>Normalized Shares Computed Over Positive ΔV</t>
        </is>
      </c>
    </row>
    <row r="3">
      <c r="A3" s="6" t="inlineStr">
        <is>
          <t>Hydro / Wave / Tidal</t>
        </is>
      </c>
      <c r="B3" s="7" t="n">
        <v>35803.66</v>
      </c>
      <c r="C3" s="8" t="n">
        <v>37549.57</v>
      </c>
      <c r="D3" s="10" t="n">
        <v>100</v>
      </c>
      <c r="E3" s="29">
        <f>(C3-B3)</f>
        <v/>
      </c>
      <c r="F3" s="29">
        <f>IF(E3&gt;0,E3,0)</f>
        <v/>
      </c>
      <c r="G3" s="30">
        <f>F3/$F$11</f>
        <v/>
      </c>
      <c r="J3" s="9" t="n"/>
      <c r="K3" s="97" t="n"/>
    </row>
    <row r="4">
      <c r="A4" s="6" t="inlineStr">
        <is>
          <t>Wind</t>
        </is>
      </c>
      <c r="B4" s="8" t="n">
        <v>17854.33</v>
      </c>
      <c r="C4" s="8" t="n">
        <v>26338.53</v>
      </c>
      <c r="D4" s="25" t="n">
        <v>20</v>
      </c>
      <c r="E4" s="29">
        <f>(C4-B4)</f>
        <v/>
      </c>
      <c r="F4" s="29">
        <f>IF(E4&gt;0,E4,0)</f>
        <v/>
      </c>
      <c r="G4" s="30">
        <f>F4/$F$11</f>
        <v/>
      </c>
      <c r="J4" s="9" t="n"/>
      <c r="K4" s="97" t="n"/>
    </row>
    <row r="5">
      <c r="A5" s="9" t="inlineStr">
        <is>
          <t>Biomass / Geothermal</t>
        </is>
      </c>
      <c r="B5" s="8" t="n">
        <v>1149.61</v>
      </c>
      <c r="C5" s="8" t="n">
        <v>1217.28</v>
      </c>
      <c r="D5" s="10" t="n">
        <v>45</v>
      </c>
      <c r="E5" s="29">
        <f>(C5-B5)</f>
        <v/>
      </c>
      <c r="F5" s="29">
        <f>IF(E5&gt;0,E5,0)</f>
        <v/>
      </c>
      <c r="G5" s="30">
        <f>F5/$F$11</f>
        <v/>
      </c>
      <c r="J5" s="9" t="n"/>
      <c r="K5" s="97" t="n"/>
    </row>
    <row r="6">
      <c r="A6" s="6" t="inlineStr">
        <is>
          <t>Solar</t>
        </is>
      </c>
      <c r="B6" s="8" t="n">
        <v>8259.799999999999</v>
      </c>
      <c r="C6" s="8" t="n">
        <v>8707.049999999999</v>
      </c>
      <c r="D6" s="10" t="n">
        <v>30</v>
      </c>
      <c r="E6" s="29">
        <f>(C6-B6)</f>
        <v/>
      </c>
      <c r="F6" s="29">
        <f>IF(E6&gt;0,E6,0)</f>
        <v/>
      </c>
      <c r="G6" s="30">
        <f>F6/$F$11</f>
        <v/>
      </c>
      <c r="J6" s="9" t="n"/>
      <c r="K6" s="97" t="n"/>
    </row>
    <row r="7">
      <c r="A7" s="6" t="inlineStr">
        <is>
          <t>Uranium</t>
        </is>
      </c>
      <c r="B7" s="8" t="n">
        <v>73712.83</v>
      </c>
      <c r="C7" s="8" t="n">
        <v>76736.53</v>
      </c>
      <c r="D7" s="10" t="n">
        <v>30</v>
      </c>
      <c r="E7" s="29">
        <f>(C7-B7)</f>
        <v/>
      </c>
      <c r="F7" s="29">
        <f>IF(E7&gt;0,E7,0)</f>
        <v/>
      </c>
      <c r="G7" s="30">
        <f>F7/$F$11</f>
        <v/>
      </c>
      <c r="J7" s="9" t="n"/>
      <c r="K7" s="97" t="n"/>
    </row>
    <row r="8">
      <c r="A8" s="6" t="inlineStr">
        <is>
          <t>Coal &amp; Coke</t>
        </is>
      </c>
      <c r="B8" s="8" t="n">
        <v>0</v>
      </c>
      <c r="C8" s="10" t="n">
        <v>0</v>
      </c>
      <c r="D8" s="10" t="n">
        <v>60</v>
      </c>
      <c r="E8" s="29">
        <f>(C8-B8)</f>
        <v/>
      </c>
      <c r="F8" s="29">
        <f>IF(E8&gt;0,E8,0)</f>
        <v/>
      </c>
      <c r="G8" s="30">
        <f>F8/$F$11</f>
        <v/>
      </c>
      <c r="J8" s="9" t="n"/>
      <c r="K8" s="97" t="n"/>
    </row>
    <row r="9">
      <c r="A9" s="6" t="inlineStr">
        <is>
          <t>Natural Gas</t>
        </is>
      </c>
      <c r="B9" s="8" t="n">
        <v>11540.62</v>
      </c>
      <c r="C9" s="8" t="n">
        <v>13759.75</v>
      </c>
      <c r="D9" s="10" t="n">
        <v>30</v>
      </c>
      <c r="E9" s="29">
        <f>(C9-B9)</f>
        <v/>
      </c>
      <c r="F9" s="29">
        <f>IF(E9&gt;0,E9,0)</f>
        <v/>
      </c>
      <c r="G9" s="30">
        <f>F9/$F$11</f>
        <v/>
      </c>
      <c r="J9" s="9" t="n"/>
      <c r="K9" s="97" t="n"/>
    </row>
    <row r="10">
      <c r="A10" s="6" t="inlineStr">
        <is>
          <t>Oil</t>
        </is>
      </c>
      <c r="B10" s="8" t="n">
        <v>81.59999999999999</v>
      </c>
      <c r="C10" s="10" t="n">
        <v>13.66</v>
      </c>
      <c r="D10" s="10" t="n">
        <v>60</v>
      </c>
      <c r="E10" s="29">
        <f>(C10-B10)</f>
        <v/>
      </c>
      <c r="F10" s="29">
        <f>IF(E10&gt;0,E10,0)</f>
        <v/>
      </c>
      <c r="G10" s="30">
        <f>F10/$F$11</f>
        <v/>
      </c>
      <c r="J10" s="9" t="n"/>
      <c r="K10" s="97" t="n"/>
    </row>
    <row r="11" ht="15" customHeight="1" thickBot="1">
      <c r="A11" s="32" t="inlineStr">
        <is>
          <t>Total</t>
        </is>
      </c>
      <c r="B11" s="14">
        <f>SUM(B3:B10)</f>
        <v/>
      </c>
      <c r="C11" s="14">
        <f>SUM(C3:C10)</f>
        <v/>
      </c>
      <c r="D11" s="14" t="n"/>
      <c r="E11" s="29">
        <f>SUM(E3:E10)</f>
        <v/>
      </c>
      <c r="F11" s="29">
        <f>SUM(F3:F10)</f>
        <v/>
      </c>
      <c r="G11" s="30">
        <f>F11/$F$11</f>
        <v/>
      </c>
      <c r="K11" s="97" t="n"/>
    </row>
    <row r="12">
      <c r="A12" s="31" t="inlineStr">
        <is>
          <t>Imports</t>
        </is>
      </c>
      <c r="B12" s="12" t="n"/>
      <c r="C12" s="12" t="n"/>
      <c r="D12" s="13" t="n"/>
      <c r="E12" s="72" t="n"/>
      <c r="F12" s="69" t="n"/>
      <c r="G12" s="73" t="n"/>
    </row>
    <row r="13" ht="15" customHeight="1" thickBot="1">
      <c r="A13" s="11" t="n"/>
      <c r="B13" s="68" t="n">
        <v>6846.89</v>
      </c>
      <c r="C13" s="251" t="n">
        <v>6846.89</v>
      </c>
      <c r="D13" s="252" t="n"/>
      <c r="E13" s="70">
        <f>C13-B13</f>
        <v/>
      </c>
      <c r="F13" s="71" t="n">
        <v>0</v>
      </c>
      <c r="G13" s="253" t="n"/>
    </row>
    <row r="14" hidden="1">
      <c r="A14" s="17" t="inlineStr">
        <is>
          <t>China</t>
        </is>
      </c>
      <c r="B14" s="14" t="inlineStr">
        <is>
          <t>-</t>
        </is>
      </c>
      <c r="C14" s="254">
        <f>222/1000</f>
        <v/>
      </c>
      <c r="D14" s="255" t="inlineStr">
        <is>
          <t>-</t>
        </is>
      </c>
      <c r="E14" s="256" t="inlineStr">
        <is>
          <t>-</t>
        </is>
      </c>
      <c r="F14" s="256" t="n"/>
      <c r="G14" s="256" t="n"/>
    </row>
    <row r="15" hidden="1">
      <c r="A15" s="17" t="inlineStr">
        <is>
          <t>Mexico</t>
        </is>
      </c>
      <c r="B15" s="14" t="inlineStr">
        <is>
          <t>-</t>
        </is>
      </c>
      <c r="C15" s="254">
        <f>29/1000</f>
        <v/>
      </c>
      <c r="D15" s="255" t="inlineStr">
        <is>
          <t>-</t>
        </is>
      </c>
      <c r="E15" s="256" t="inlineStr">
        <is>
          <t>-</t>
        </is>
      </c>
      <c r="F15" s="256" t="n"/>
      <c r="G15" s="256" t="n"/>
    </row>
    <row r="16" hidden="1">
      <c r="A16" s="17" t="inlineStr">
        <is>
          <t>Vietnam</t>
        </is>
      </c>
      <c r="B16" s="14" t="inlineStr">
        <is>
          <t>-</t>
        </is>
      </c>
      <c r="C16" s="254">
        <f>8/1000</f>
        <v/>
      </c>
      <c r="D16" s="255" t="inlineStr">
        <is>
          <t>-</t>
        </is>
      </c>
      <c r="E16" s="256" t="inlineStr">
        <is>
          <t>-</t>
        </is>
      </c>
      <c r="F16" s="256" t="n"/>
      <c r="G16" s="256" t="n"/>
    </row>
    <row r="17" hidden="1">
      <c r="A17" s="17" t="inlineStr">
        <is>
          <t>France</t>
        </is>
      </c>
      <c r="B17" s="14" t="inlineStr">
        <is>
          <t>-</t>
        </is>
      </c>
      <c r="C17" s="254">
        <f>1/1000</f>
        <v/>
      </c>
      <c r="D17" s="255" t="inlineStr">
        <is>
          <t>-</t>
        </is>
      </c>
      <c r="E17" s="256" t="inlineStr">
        <is>
          <t>-</t>
        </is>
      </c>
      <c r="F17" s="256" t="n"/>
      <c r="G17" s="256" t="n"/>
    </row>
    <row r="18" hidden="1">
      <c r="A18" s="17" t="inlineStr">
        <is>
          <t>Taiwan</t>
        </is>
      </c>
      <c r="B18" s="14" t="inlineStr">
        <is>
          <t>-</t>
        </is>
      </c>
      <c r="C18" s="254">
        <f>10/1000</f>
        <v/>
      </c>
      <c r="D18" s="255" t="inlineStr">
        <is>
          <t>-</t>
        </is>
      </c>
      <c r="E18" s="256" t="inlineStr">
        <is>
          <t>-</t>
        </is>
      </c>
      <c r="F18" s="256" t="n"/>
      <c r="G18" s="256" t="n"/>
    </row>
    <row r="19" hidden="1">
      <c r="A19" s="17" t="inlineStr">
        <is>
          <t>United Kingdom</t>
        </is>
      </c>
      <c r="B19" s="14" t="n"/>
      <c r="C19" s="257" t="inlineStr">
        <is>
          <t>-</t>
        </is>
      </c>
      <c r="D19" s="255" t="n"/>
      <c r="E19" s="256" t="inlineStr">
        <is>
          <t>-</t>
        </is>
      </c>
      <c r="F19" s="256" t="n"/>
      <c r="G19" s="256" t="n"/>
    </row>
    <row r="20" hidden="1">
      <c r="A20" s="17" t="inlineStr">
        <is>
          <t>Netherlands</t>
        </is>
      </c>
      <c r="B20" s="14" t="inlineStr">
        <is>
          <t>-</t>
        </is>
      </c>
      <c r="C20" s="254">
        <f>10/1000</f>
        <v/>
      </c>
      <c r="D20" s="255" t="inlineStr">
        <is>
          <t>-</t>
        </is>
      </c>
      <c r="E20" s="256" t="inlineStr">
        <is>
          <t>-</t>
        </is>
      </c>
      <c r="F20" s="256" t="n"/>
      <c r="G20" s="256" t="n"/>
    </row>
    <row r="21">
      <c r="A21" s="17" t="n"/>
      <c r="B21" s="14" t="n"/>
      <c r="C21" s="22" t="n"/>
      <c r="D21" s="23" t="n"/>
    </row>
    <row r="22">
      <c r="A22" t="inlineStr">
        <is>
          <t>Normalized shares are computed over positive ΔV only (expanding suppliers). Contracting suppliers receive 0% share.</t>
        </is>
      </c>
    </row>
    <row r="23">
      <c r="A23" t="inlineStr">
        <is>
          <t>Imports were not projected for 2025–2030; therefore import contribution to the marginal expansion mix is set to zero in the base case and explored via a bounded sensitivity using the most recent observed share.</t>
        </is>
      </c>
    </row>
    <row r="24" ht="16" customHeight="1">
      <c r="A24" s="24" t="inlineStr">
        <is>
          <t>Source: https://apps.cer-rec.gc.ca/ftrppndc/dflt.aspx?GoCTemplateCulture=en-CA</t>
        </is>
      </c>
      <c r="B24" s="24" t="n"/>
      <c r="C24" s="24" t="n"/>
      <c r="D24" s="24" t="n"/>
      <c r="E24" s="24" t="n"/>
      <c r="F24" s="24" t="n"/>
      <c r="G24" s="24" t="n"/>
    </row>
    <row r="25" ht="16" customHeight="1">
      <c r="A25" s="24" t="n"/>
      <c r="B25" s="24" t="n"/>
      <c r="C25" s="24" t="n"/>
      <c r="D25" s="24" t="n"/>
      <c r="E25" s="24" t="n"/>
      <c r="F25" s="24" t="n"/>
      <c r="G25" s="24" t="n"/>
    </row>
    <row r="26" ht="16" customHeight="1">
      <c r="A26" s="24" t="n"/>
      <c r="B26" s="24" t="n"/>
      <c r="C26" s="24" t="n"/>
      <c r="D26" s="24" t="n"/>
      <c r="E26" s="24" t="n"/>
      <c r="F26" s="24" t="n"/>
      <c r="G26" s="24" t="n"/>
    </row>
    <row r="27" ht="16" customHeight="1">
      <c r="A27" s="24" t="n"/>
      <c r="B27" s="24" t="n"/>
      <c r="C27" s="24" t="n"/>
      <c r="D27" s="24" t="n"/>
      <c r="E27" s="24" t="n"/>
      <c r="F27" s="24" t="n"/>
      <c r="G27" s="24" t="n"/>
    </row>
  </sheetData>
  <mergeCells count="1"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2026-03-11T18:19:31Z</dcterms:modified>
  <cp:lastModifiedBy>Marley Dowling</cp:lastModifiedBy>
</cp:coreProperties>
</file>