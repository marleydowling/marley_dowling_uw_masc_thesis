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710" yWindow="0" windowWidth="12980" windowHeight="15370" tabRatio="600" firstSheet="12" activeTab="0" autoFilterDateGrouping="1"/>
  </bookViews>
  <sheets>
    <sheet xmlns:r="http://schemas.openxmlformats.org/officeDocument/2006/relationships" name="All Alum. Producers Contemp" sheetId="1" state="visible" r:id="rId1"/>
  </sheets>
  <externalReferences>
    <externalReference xmlns:r="http://schemas.openxmlformats.org/officeDocument/2006/relationships" r:id="rId2"/>
  </externalReferences>
  <definedNames/>
  <calcPr calcId="191029" calcMode="auto" fullCalcOnLoad="1" forceFullCalc="1"/>
</workbook>
</file>

<file path=xl/styles.xml><?xml version="1.0" encoding="utf-8"?>
<styleSheet xmlns="http://schemas.openxmlformats.org/spreadsheetml/2006/main">
  <numFmts count="3">
    <numFmt numFmtId="164" formatCode="_-* #,##0.00_-;\-* #,##0.00_-;_-* &quot;-&quot;??_-;_-@_-"/>
    <numFmt numFmtId="165" formatCode="0.0%"/>
    <numFmt numFmtId="166" formatCode="0.0"/>
  </numFmts>
  <fonts count="3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b val="1"/>
      <color theme="1"/>
      <sz val="11"/>
    </font>
    <font>
      <name val="Aptos Narrow"/>
      <family val="2"/>
      <color theme="1"/>
      <sz val="11"/>
    </font>
    <font>
      <name val="Arial"/>
      <family val="2"/>
      <color theme="1"/>
      <sz val="11"/>
    </font>
    <font>
      <name val="Aptos Narrow"/>
      <family val="2"/>
      <b val="1"/>
      <color theme="1"/>
      <sz val="12"/>
      <scheme val="minor"/>
    </font>
    <font>
      <name val="Aptos Narrow"/>
      <family val="2"/>
      <color theme="10"/>
      <sz val="11"/>
      <u val="single"/>
      <scheme val="minor"/>
    </font>
    <font>
      <name val="Aptos Narrow"/>
      <family val="2"/>
      <i val="1"/>
      <color theme="1"/>
      <sz val="11"/>
      <scheme val="minor"/>
    </font>
    <font>
      <name val="Aptos Narrow"/>
      <family val="2"/>
      <b val="1"/>
      <sz val="11"/>
    </font>
    <font>
      <name val="Aptos Narrow"/>
      <family val="2"/>
      <sz val="11"/>
      <scheme val="minor"/>
    </font>
    <font>
      <name val="Aptos Narrow"/>
      <family val="2"/>
      <sz val="11"/>
    </font>
    <font>
      <name val="Arial"/>
      <family val="2"/>
      <sz val="11"/>
    </font>
    <font>
      <name val="Aptos Narrow"/>
      <family val="2"/>
      <b val="1"/>
      <color theme="5"/>
      <sz val="11"/>
    </font>
    <font>
      <name val="Calibri"/>
      <family val="2"/>
      <b val="1"/>
      <sz val="11"/>
    </font>
    <font>
      <name val="Aptos Narrow"/>
      <family val="2"/>
      <color theme="1"/>
      <sz val="12"/>
      <scheme val="minor"/>
    </font>
    <font>
      <name val="Aptos Narrow"/>
      <family val="2"/>
      <color rgb="FFFF0000"/>
      <sz val="11"/>
      <scheme val="minor"/>
    </font>
    <font>
      <name val="Aptos Narrow"/>
      <family val="2"/>
      <sz val="12"/>
      <scheme val="minor"/>
    </font>
    <font>
      <name val="Aptos Narrow"/>
      <family val="2"/>
      <color theme="5"/>
      <sz val="11"/>
    </font>
    <font>
      <name val="Aptos Narrow"/>
      <family val="2"/>
      <color rgb="FFFF0000"/>
      <sz val="11"/>
    </font>
    <font>
      <name val="Aptos Narrow"/>
      <family val="2"/>
      <strike val="1"/>
      <color theme="1"/>
      <sz val="11"/>
      <scheme val="minor"/>
    </font>
    <font>
      <name val="Aptos Narrow"/>
      <family val="2"/>
      <strike val="1"/>
      <sz val="11"/>
    </font>
    <font>
      <name val="Arial"/>
      <family val="2"/>
      <color rgb="FF333333"/>
      <sz val="10"/>
    </font>
    <font>
      <name val="Arial"/>
      <family val="2"/>
      <sz val="10"/>
    </font>
    <font>
      <name val="Arial"/>
      <family val="2"/>
      <b val="1"/>
      <sz val="10"/>
    </font>
    <font>
      <name val="Arial"/>
      <family val="2"/>
      <b val="1"/>
      <sz val="9"/>
    </font>
    <font>
      <name val="Arial"/>
      <family val="2"/>
      <b val="1"/>
      <sz val="10"/>
      <vertAlign val="superscript"/>
    </font>
    <font>
      <name val="Arial"/>
      <family val="2"/>
      <color theme="0" tint="-0.499984740745262"/>
      <sz val="10"/>
    </font>
    <font>
      <name val="Arial"/>
      <family val="2"/>
      <color theme="0" tint="-0.499984740745262"/>
      <sz val="10"/>
      <vertAlign val="superscript"/>
    </font>
    <font>
      <name val="Arial"/>
      <family val="2"/>
      <b val="1"/>
      <color rgb="FFFF0000"/>
      <sz val="10"/>
    </font>
  </fonts>
  <fills count="14">
    <fill>
      <patternFill/>
    </fill>
    <fill>
      <patternFill patternType="gray125"/>
    </fill>
    <fill>
      <patternFill patternType="solid">
        <fgColor rgb="FF83CAEB"/>
        <bgColor rgb="FF83CAEB"/>
      </patternFill>
    </fill>
    <fill>
      <patternFill patternType="solid">
        <fgColor rgb="FFC1E4F5"/>
        <bgColor rgb="FFC1E4F5"/>
      </patternFill>
    </fill>
    <fill>
      <patternFill patternType="solid">
        <fgColor rgb="FFC1F0C8"/>
        <bgColor rgb="FFC1F0C8"/>
      </patternFill>
    </fill>
    <fill>
      <patternFill patternType="solid">
        <fgColor rgb="FFFF9900"/>
        <bgColor rgb="FFFF9900"/>
      </patternFill>
    </fill>
    <fill>
      <patternFill patternType="solid">
        <fgColor rgb="FFFFFF00"/>
        <bgColor rgb="FFFF9900"/>
      </patternFill>
    </fill>
    <fill>
      <patternFill patternType="solid">
        <fgColor theme="3" tint="0.749992370372631"/>
        <bgColor indexed="64"/>
      </patternFill>
    </fill>
    <fill>
      <patternFill patternType="solid">
        <fgColor theme="3" tint="0.8999908444471572"/>
        <bgColor indexed="64"/>
      </patternFill>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
      <patternFill patternType="solid">
        <fgColor theme="8" tint="0.5999938962981048"/>
        <bgColor indexed="64"/>
      </patternFill>
    </fill>
    <fill>
      <patternFill patternType="solid">
        <fgColor theme="1"/>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auto="1"/>
      </left>
      <right style="thin">
        <color indexed="64"/>
      </right>
      <top/>
      <bottom style="thin">
        <color auto="1"/>
      </bottom>
      <diagonal/>
    </border>
    <border>
      <left/>
      <right style="thin">
        <color indexed="64"/>
      </right>
      <top/>
      <bottom style="thin">
        <color auto="1"/>
      </bottom>
      <diagonal/>
    </border>
    <border>
      <left style="thin">
        <color indexed="64"/>
      </left>
      <right/>
      <top/>
      <bottom/>
      <diagonal/>
    </border>
    <border>
      <left/>
      <right/>
      <top/>
      <bottom style="thin">
        <color auto="1"/>
      </bottom>
      <diagonal/>
    </border>
  </borders>
  <cellStyleXfs count="6">
    <xf numFmtId="0" fontId="1" fillId="0" borderId="0"/>
    <xf numFmtId="43" fontId="1" fillId="0" borderId="0"/>
    <xf numFmtId="9" fontId="1" fillId="0" borderId="0"/>
    <xf numFmtId="0" fontId="7" fillId="0" borderId="0"/>
    <xf numFmtId="0" fontId="23" fillId="0" borderId="0"/>
    <xf numFmtId="9" fontId="23" fillId="0" borderId="0"/>
  </cellStyleXfs>
  <cellXfs count="250">
    <xf numFmtId="0" fontId="0" fillId="0" borderId="0" pivotButton="0" quotePrefix="0" xfId="0"/>
    <xf numFmtId="0" fontId="3" fillId="2" borderId="1" pivotButton="0" quotePrefix="0" xfId="0"/>
    <xf numFmtId="0" fontId="3" fillId="2" borderId="2" pivotButton="0" quotePrefix="0" xfId="0"/>
    <xf numFmtId="0" fontId="3" fillId="2" borderId="3" pivotButton="0" quotePrefix="0" xfId="0"/>
    <xf numFmtId="0" fontId="3" fillId="3" borderId="5" pivotButton="0" quotePrefix="0" xfId="0"/>
    <xf numFmtId="0" fontId="3" fillId="3" borderId="0" applyAlignment="1" pivotButton="0" quotePrefix="0" xfId="0">
      <alignment horizontal="center"/>
    </xf>
    <xf numFmtId="0" fontId="4" fillId="0" borderId="5" pivotButton="0" quotePrefix="0" xfId="0"/>
    <xf numFmtId="4" fontId="5" fillId="5" borderId="0" applyAlignment="1" pivotButton="0" quotePrefix="0" xfId="0">
      <alignment horizontal="center"/>
    </xf>
    <xf numFmtId="4" fontId="4" fillId="5" borderId="0" applyAlignment="1" pivotButton="0" quotePrefix="0" xfId="0">
      <alignment horizontal="center"/>
    </xf>
    <xf numFmtId="0" fontId="4" fillId="0" borderId="0" pivotButton="0" quotePrefix="0" xfId="0"/>
    <xf numFmtId="0" fontId="4" fillId="5" borderId="0" applyAlignment="1" pivotButton="0" quotePrefix="0" xfId="0">
      <alignment horizontal="center"/>
    </xf>
    <xf numFmtId="0" fontId="3" fillId="0" borderId="8" pivotButton="0" quotePrefix="0" xfId="0"/>
    <xf numFmtId="0" fontId="3" fillId="0" borderId="2" applyAlignment="1" pivotButton="0" quotePrefix="0" xfId="0">
      <alignment horizontal="center"/>
    </xf>
    <xf numFmtId="0" fontId="3" fillId="0" borderId="3" applyAlignment="1" pivotButton="0" quotePrefix="0" xfId="0">
      <alignment horizontal="center"/>
    </xf>
    <xf numFmtId="0" fontId="3" fillId="0" borderId="0" applyAlignment="1" pivotButton="0" quotePrefix="0" xfId="0">
      <alignment horizontal="center"/>
    </xf>
    <xf numFmtId="164" fontId="1" fillId="0" borderId="9" pivotButton="0" quotePrefix="0" xfId="1"/>
    <xf numFmtId="164" fontId="4" fillId="0" borderId="10" applyAlignment="1" pivotButton="0" quotePrefix="0" xfId="1">
      <alignment horizontal="center"/>
    </xf>
    <xf numFmtId="0" fontId="3" fillId="0" borderId="0" pivotButton="0" quotePrefix="0" xfId="0"/>
    <xf numFmtId="164" fontId="3" fillId="0" borderId="0" applyAlignment="1" pivotButton="0" quotePrefix="0" xfId="1">
      <alignment horizontal="center"/>
    </xf>
    <xf numFmtId="164" fontId="2" fillId="0" borderId="0" pivotButton="0" quotePrefix="0" xfId="1"/>
    <xf numFmtId="165" fontId="4" fillId="0" borderId="0" applyAlignment="1" pivotButton="0" quotePrefix="0" xfId="2">
      <alignment horizontal="center"/>
    </xf>
    <xf numFmtId="164" fontId="2" fillId="0" borderId="0" applyAlignment="1" pivotButton="0" quotePrefix="0" xfId="1">
      <alignment horizontal="center"/>
    </xf>
    <xf numFmtId="0" fontId="2" fillId="0" borderId="0" pivotButton="0" quotePrefix="0" xfId="0"/>
    <xf numFmtId="10" fontId="3" fillId="0" borderId="0" applyAlignment="1" pivotButton="0" quotePrefix="0" xfId="2">
      <alignment horizontal="center"/>
    </xf>
    <xf numFmtId="0" fontId="6" fillId="0" borderId="0" pivotButton="0" quotePrefix="0" xfId="0"/>
    <xf numFmtId="0" fontId="5" fillId="5" borderId="0" applyAlignment="1" pivotButton="0" quotePrefix="0" xfId="0">
      <alignment horizontal="center"/>
    </xf>
    <xf numFmtId="10" fontId="4" fillId="0" borderId="2" applyAlignment="1" pivotButton="0" quotePrefix="0" xfId="0">
      <alignment horizontal="center"/>
    </xf>
    <xf numFmtId="165" fontId="4" fillId="0" borderId="9" applyAlignment="1" pivotButton="0" quotePrefix="0" xfId="2">
      <alignment horizontal="center"/>
    </xf>
    <xf numFmtId="0" fontId="3" fillId="3" borderId="12" applyAlignment="1" pivotButton="0" quotePrefix="0" xfId="0">
      <alignment horizontal="center"/>
    </xf>
    <xf numFmtId="0" fontId="4" fillId="0" borderId="13" applyAlignment="1" pivotButton="0" quotePrefix="0" xfId="1">
      <alignment horizontal="center" vertical="center"/>
    </xf>
    <xf numFmtId="10" fontId="4" fillId="0" borderId="13" applyAlignment="1" pivotButton="0" quotePrefix="0" xfId="2">
      <alignment horizontal="center" vertical="center"/>
    </xf>
    <xf numFmtId="0" fontId="3" fillId="0" borderId="1" pivotButton="0" quotePrefix="0" xfId="0"/>
    <xf numFmtId="0" fontId="3" fillId="0" borderId="5" pivotButton="0" quotePrefix="0" xfId="0"/>
    <xf numFmtId="10" fontId="4" fillId="0" borderId="8" applyAlignment="1" pivotButton="0" quotePrefix="0" xfId="2">
      <alignment horizontal="center"/>
    </xf>
    <xf numFmtId="165" fontId="0" fillId="0" borderId="0" pivotButton="0" quotePrefix="0" xfId="2"/>
    <xf numFmtId="10" fontId="0" fillId="0" borderId="0" pivotButton="0" quotePrefix="0" xfId="2"/>
    <xf numFmtId="10" fontId="0" fillId="0" borderId="13" pivotButton="0" quotePrefix="0" xfId="2"/>
    <xf numFmtId="0" fontId="0" fillId="0" borderId="3" pivotButton="0" quotePrefix="0" xfId="0"/>
    <xf numFmtId="10" fontId="0" fillId="0" borderId="10" pivotButton="0" quotePrefix="0" xfId="0"/>
    <xf numFmtId="10" fontId="0" fillId="0" borderId="15" pivotButton="0" quotePrefix="0" xfId="0"/>
    <xf numFmtId="10" fontId="3" fillId="0" borderId="1" applyAlignment="1" pivotButton="0" quotePrefix="0" xfId="0">
      <alignment horizontal="center"/>
    </xf>
    <xf numFmtId="9" fontId="3" fillId="3" borderId="12" applyAlignment="1" pivotButton="0" quotePrefix="0" xfId="2">
      <alignment horizontal="center"/>
    </xf>
    <xf numFmtId="0" fontId="3" fillId="2" borderId="18" applyAlignment="1" pivotButton="0" quotePrefix="0" xfId="0">
      <alignment horizontal="center"/>
    </xf>
    <xf numFmtId="9" fontId="3" fillId="3" borderId="19" applyAlignment="1" pivotButton="0" quotePrefix="0" xfId="2">
      <alignment horizontal="center"/>
    </xf>
    <xf numFmtId="165" fontId="0" fillId="0" borderId="13" pivotButton="0" quotePrefix="0" xfId="2"/>
    <xf numFmtId="165" fontId="0" fillId="0" borderId="14" pivotButton="0" quotePrefix="0" xfId="2"/>
    <xf numFmtId="9" fontId="0" fillId="0" borderId="4" pivotButton="0" quotePrefix="0" xfId="2"/>
    <xf numFmtId="9" fontId="0" fillId="0" borderId="7" pivotButton="0" quotePrefix="0" xfId="2"/>
    <xf numFmtId="9" fontId="0" fillId="0" borderId="11" pivotButton="0" quotePrefix="0" xfId="2"/>
    <xf numFmtId="0" fontId="9" fillId="2" borderId="1" pivotButton="0" quotePrefix="0" xfId="0"/>
    <xf numFmtId="0" fontId="9" fillId="2" borderId="2" pivotButton="0" quotePrefix="0" xfId="0"/>
    <xf numFmtId="0" fontId="9" fillId="2" borderId="3" pivotButton="0" quotePrefix="0" xfId="0"/>
    <xf numFmtId="0" fontId="9" fillId="2" borderId="4" pivotButton="0" quotePrefix="0" xfId="0"/>
    <xf numFmtId="0" fontId="10" fillId="0" borderId="0" pivotButton="0" quotePrefix="0" xfId="0"/>
    <xf numFmtId="0" fontId="11" fillId="0" borderId="5" pivotButton="0" quotePrefix="0" xfId="0"/>
    <xf numFmtId="0" fontId="11" fillId="6" borderId="6" applyAlignment="1" pivotButton="0" quotePrefix="0" xfId="0">
      <alignment horizontal="center"/>
    </xf>
    <xf numFmtId="0" fontId="11" fillId="0" borderId="5" applyAlignment="1" pivotButton="0" quotePrefix="0" xfId="0">
      <alignment horizontal="center"/>
    </xf>
    <xf numFmtId="10" fontId="11" fillId="4" borderId="6" applyAlignment="1" pivotButton="0" quotePrefix="0" xfId="0">
      <alignment horizontal="center"/>
    </xf>
    <xf numFmtId="10" fontId="11" fillId="4" borderId="7" applyAlignment="1" pivotButton="0" quotePrefix="0" xfId="0">
      <alignment horizontal="center"/>
    </xf>
    <xf numFmtId="0" fontId="13" fillId="0" borderId="9" pivotButton="0" quotePrefix="0" xfId="0"/>
    <xf numFmtId="0" fontId="9" fillId="3" borderId="2" pivotButton="0" quotePrefix="0" xfId="0"/>
    <xf numFmtId="0" fontId="2" fillId="0" borderId="0" applyAlignment="1" pivotButton="0" quotePrefix="0" xfId="0">
      <alignment vertical="center" wrapText="1"/>
    </xf>
    <xf numFmtId="10" fontId="2" fillId="0" borderId="0" pivotButton="0" quotePrefix="0" xfId="2"/>
    <xf numFmtId="2" fontId="0" fillId="0" borderId="0" pivotButton="0" quotePrefix="0" xfId="0"/>
    <xf numFmtId="0" fontId="7" fillId="0" borderId="0" pivotButton="0" quotePrefix="0" xfId="3"/>
    <xf numFmtId="0" fontId="14" fillId="0" borderId="0" pivotButton="0" quotePrefix="0" xfId="0"/>
    <xf numFmtId="0" fontId="15" fillId="0" borderId="0" pivotButton="0" quotePrefix="0" xfId="0"/>
    <xf numFmtId="10" fontId="0" fillId="0" borderId="0" pivotButton="0" quotePrefix="0" xfId="0"/>
    <xf numFmtId="4" fontId="4" fillId="0" borderId="9" applyAlignment="1" pivotButton="0" quotePrefix="0" xfId="0">
      <alignment horizontal="center"/>
    </xf>
    <xf numFmtId="10" fontId="4" fillId="0" borderId="3" applyAlignment="1" pivotButton="0" quotePrefix="0" xfId="0">
      <alignment horizontal="center"/>
    </xf>
    <xf numFmtId="0" fontId="4" fillId="0" borderId="20" applyAlignment="1" pivotButton="0" quotePrefix="0" xfId="1">
      <alignment horizontal="center" vertical="center"/>
    </xf>
    <xf numFmtId="0" fontId="4" fillId="0" borderId="10" applyAlignment="1" pivotButton="0" quotePrefix="0" xfId="1">
      <alignment horizontal="center" vertical="center"/>
    </xf>
    <xf numFmtId="10" fontId="3" fillId="0" borderId="21" applyAlignment="1" pivotButton="0" quotePrefix="0" xfId="0">
      <alignment horizontal="center"/>
    </xf>
    <xf numFmtId="10" fontId="4" fillId="0" borderId="4" applyAlignment="1" pivotButton="0" quotePrefix="0" xfId="0">
      <alignment horizontal="center"/>
    </xf>
    <xf numFmtId="165" fontId="4" fillId="0" borderId="11" applyAlignment="1" pivotButton="0" quotePrefix="0" xfId="2">
      <alignment horizontal="center"/>
    </xf>
    <xf numFmtId="165" fontId="4" fillId="0" borderId="10" applyAlignment="1" pivotButton="0" quotePrefix="0" xfId="2">
      <alignment horizontal="center"/>
    </xf>
    <xf numFmtId="0" fontId="9" fillId="3" borderId="1" pivotButton="0" quotePrefix="0" xfId="0"/>
    <xf numFmtId="0" fontId="9" fillId="3" borderId="2" applyAlignment="1" pivotButton="0" quotePrefix="0" xfId="0">
      <alignment horizontal="center"/>
    </xf>
    <xf numFmtId="0" fontId="9" fillId="3" borderId="3" applyAlignment="1" pivotButton="0" quotePrefix="0" xfId="0">
      <alignment horizontal="center"/>
    </xf>
    <xf numFmtId="0" fontId="11" fillId="0" borderId="0" pivotButton="0" quotePrefix="0" xfId="0"/>
    <xf numFmtId="0" fontId="12" fillId="5" borderId="0" applyAlignment="1" pivotButton="0" quotePrefix="0" xfId="0">
      <alignment horizontal="center"/>
    </xf>
    <xf numFmtId="0" fontId="11" fillId="5" borderId="0" applyAlignment="1" pivotButton="0" quotePrefix="0" xfId="0">
      <alignment horizontal="center"/>
    </xf>
    <xf numFmtId="0" fontId="13" fillId="0" borderId="8" pivotButton="0" quotePrefix="0" xfId="0"/>
    <xf numFmtId="0" fontId="13" fillId="0" borderId="9" applyAlignment="1" pivotButton="0" quotePrefix="0" xfId="0">
      <alignment horizontal="center"/>
    </xf>
    <xf numFmtId="0" fontId="13" fillId="0" borderId="10" applyAlignment="1" pivotButton="0" quotePrefix="0" xfId="0">
      <alignment horizontal="center"/>
    </xf>
    <xf numFmtId="0" fontId="9" fillId="3" borderId="1" applyAlignment="1" pivotButton="0" quotePrefix="0" xfId="0">
      <alignment horizontal="center"/>
    </xf>
    <xf numFmtId="2" fontId="9" fillId="3" borderId="3" applyAlignment="1" pivotButton="0" quotePrefix="0" xfId="0">
      <alignment horizontal="center"/>
    </xf>
    <xf numFmtId="0" fontId="9" fillId="4" borderId="3" applyAlignment="1" pivotButton="0" quotePrefix="0" xfId="0">
      <alignment horizontal="center"/>
    </xf>
    <xf numFmtId="0" fontId="13" fillId="0" borderId="8" applyAlignment="1" pivotButton="0" quotePrefix="0" xfId="0">
      <alignment horizontal="center"/>
    </xf>
    <xf numFmtId="9" fontId="13" fillId="4" borderId="10" applyAlignment="1" pivotButton="0" quotePrefix="0" xfId="0">
      <alignment horizontal="center"/>
    </xf>
    <xf numFmtId="0" fontId="9" fillId="4" borderId="4" applyAlignment="1" pivotButton="0" quotePrefix="0" xfId="0">
      <alignment horizontal="center"/>
    </xf>
    <xf numFmtId="9" fontId="13" fillId="4" borderId="11" applyAlignment="1" pivotButton="0" quotePrefix="0" xfId="0">
      <alignment horizontal="center"/>
    </xf>
    <xf numFmtId="0" fontId="11" fillId="0" borderId="5" applyAlignment="1" pivotButton="0" quotePrefix="0" xfId="1">
      <alignment horizontal="center" vertical="center"/>
    </xf>
    <xf numFmtId="0" fontId="11" fillId="0" borderId="0" applyAlignment="1" pivotButton="0" quotePrefix="0" xfId="1">
      <alignment horizontal="center" vertical="center"/>
    </xf>
    <xf numFmtId="2" fontId="11" fillId="0" borderId="6" applyAlignment="1" pivotButton="0" quotePrefix="0" xfId="0">
      <alignment horizontal="center" vertical="center"/>
    </xf>
    <xf numFmtId="0" fontId="13" fillId="0" borderId="9" applyAlignment="1" pivotButton="0" quotePrefix="0" xfId="0">
      <alignment horizontal="center" vertical="center"/>
    </xf>
    <xf numFmtId="2" fontId="13" fillId="0" borderId="10" applyAlignment="1" pivotButton="0" quotePrefix="0" xfId="0">
      <alignment horizontal="center" vertical="center"/>
    </xf>
    <xf numFmtId="10" fontId="0" fillId="0" borderId="0" pivotButton="0" quotePrefix="0" xfId="2"/>
    <xf numFmtId="4" fontId="4" fillId="0" borderId="13" applyAlignment="1" pivotButton="0" quotePrefix="0" xfId="1">
      <alignment horizontal="center" vertical="center"/>
    </xf>
    <xf numFmtId="0" fontId="2" fillId="7" borderId="25" pivotButton="0" quotePrefix="0" xfId="0"/>
    <xf numFmtId="0" fontId="2" fillId="8" borderId="25" pivotButton="0" quotePrefix="0" xfId="0"/>
    <xf numFmtId="0" fontId="0" fillId="0" borderId="25" pivotButton="0" quotePrefix="0" xfId="0"/>
    <xf numFmtId="0" fontId="0" fillId="9" borderId="25" pivotButton="0" quotePrefix="0" xfId="0"/>
    <xf numFmtId="2" fontId="9" fillId="2" borderId="3" pivotButton="0" quotePrefix="0" xfId="0"/>
    <xf numFmtId="0" fontId="9" fillId="3" borderId="5" pivotButton="0" quotePrefix="0" xfId="0"/>
    <xf numFmtId="0" fontId="9" fillId="3" borderId="0" pivotButton="0" quotePrefix="0" xfId="0"/>
    <xf numFmtId="0" fontId="9" fillId="3" borderId="0" applyAlignment="1" pivotButton="0" quotePrefix="0" xfId="0">
      <alignment horizontal="center"/>
    </xf>
    <xf numFmtId="0" fontId="9" fillId="3" borderId="6" applyAlignment="1" pivotButton="0" quotePrefix="0" xfId="0">
      <alignment horizontal="center"/>
    </xf>
    <xf numFmtId="0" fontId="9" fillId="3" borderId="5" applyAlignment="1" pivotButton="0" quotePrefix="0" xfId="0">
      <alignment horizontal="center"/>
    </xf>
    <xf numFmtId="2" fontId="9" fillId="3" borderId="6" applyAlignment="1" pivotButton="0" quotePrefix="0" xfId="0">
      <alignment horizontal="center"/>
    </xf>
    <xf numFmtId="0" fontId="9" fillId="4" borderId="6" applyAlignment="1" pivotButton="0" quotePrefix="0" xfId="0">
      <alignment horizontal="center"/>
    </xf>
    <xf numFmtId="0" fontId="9" fillId="4" borderId="7" applyAlignment="1" pivotButton="0" quotePrefix="0" xfId="0">
      <alignment horizontal="center"/>
    </xf>
    <xf numFmtId="0" fontId="12" fillId="6" borderId="0" applyAlignment="1" pivotButton="0" quotePrefix="0" xfId="0">
      <alignment horizontal="center"/>
    </xf>
    <xf numFmtId="10" fontId="11" fillId="0" borderId="5" applyAlignment="1" pivotButton="0" quotePrefix="0" xfId="0">
      <alignment horizontal="center"/>
    </xf>
    <xf numFmtId="10" fontId="11" fillId="0" borderId="0" applyAlignment="1" pivotButton="0" quotePrefix="0" xfId="0">
      <alignment horizontal="center"/>
    </xf>
    <xf numFmtId="2" fontId="11" fillId="0" borderId="6" applyAlignment="1" pivotButton="0" quotePrefix="0" xfId="0">
      <alignment horizontal="center"/>
    </xf>
    <xf numFmtId="2" fontId="11" fillId="0" borderId="0" applyAlignment="1" pivotButton="0" quotePrefix="0" xfId="0">
      <alignment horizontal="center"/>
    </xf>
    <xf numFmtId="0" fontId="11" fillId="0" borderId="0" applyAlignment="1" pivotButton="0" quotePrefix="0" xfId="0">
      <alignment horizontal="center"/>
    </xf>
    <xf numFmtId="9" fontId="11" fillId="4" borderId="6" applyAlignment="1" pivotButton="0" quotePrefix="0" xfId="0">
      <alignment horizontal="center"/>
    </xf>
    <xf numFmtId="0" fontId="11" fillId="6" borderId="0" applyAlignment="1" pivotButton="0" quotePrefix="0" xfId="0">
      <alignment horizontal="center"/>
    </xf>
    <xf numFmtId="0" fontId="17" fillId="0" borderId="0" pivotButton="0" quotePrefix="0" xfId="0"/>
    <xf numFmtId="0" fontId="13" fillId="0" borderId="0" applyAlignment="1" pivotButton="0" quotePrefix="0" xfId="0">
      <alignment horizontal="center"/>
    </xf>
    <xf numFmtId="10" fontId="18" fillId="0" borderId="8" applyAlignment="1" pivotButton="0" quotePrefix="0" xfId="0">
      <alignment horizontal="center"/>
    </xf>
    <xf numFmtId="2" fontId="13" fillId="0" borderId="10" applyAlignment="1" pivotButton="0" quotePrefix="0" xfId="0">
      <alignment horizontal="center"/>
    </xf>
    <xf numFmtId="10" fontId="13" fillId="4" borderId="10" applyAlignment="1" pivotButton="0" quotePrefix="0" xfId="0">
      <alignment horizontal="center"/>
    </xf>
    <xf numFmtId="0" fontId="13" fillId="0" borderId="5" applyAlignment="1" pivotButton="0" quotePrefix="0" xfId="0">
      <alignment horizontal="center"/>
    </xf>
    <xf numFmtId="9" fontId="13" fillId="4" borderId="6" applyAlignment="1" pivotButton="0" quotePrefix="0" xfId="0">
      <alignment horizontal="center"/>
    </xf>
    <xf numFmtId="0" fontId="9" fillId="10" borderId="0" pivotButton="0" quotePrefix="0" xfId="0"/>
    <xf numFmtId="0" fontId="9" fillId="3" borderId="3" pivotButton="0" quotePrefix="0" xfId="0"/>
    <xf numFmtId="0" fontId="0" fillId="0" borderId="5" pivotButton="0" quotePrefix="0" xfId="0"/>
    <xf numFmtId="0" fontId="0" fillId="0" borderId="6" pivotButton="0" quotePrefix="0" xfId="0"/>
    <xf numFmtId="9" fontId="0" fillId="0" borderId="0" pivotButton="0" quotePrefix="0" xfId="2"/>
    <xf numFmtId="9" fontId="0" fillId="0" borderId="0" pivotButton="0" quotePrefix="0" xfId="0"/>
    <xf numFmtId="2" fontId="0" fillId="0" borderId="6" pivotButton="0" quotePrefix="0" xfId="0"/>
    <xf numFmtId="0" fontId="16" fillId="0" borderId="5" pivotButton="0" quotePrefix="0" xfId="0"/>
    <xf numFmtId="0" fontId="16" fillId="0" borderId="0" pivotButton="0" quotePrefix="0" xfId="0"/>
    <xf numFmtId="9" fontId="16" fillId="0" borderId="0" pivotButton="0" quotePrefix="0" xfId="2"/>
    <xf numFmtId="10" fontId="19" fillId="4" borderId="6" applyAlignment="1" pivotButton="0" quotePrefix="0" xfId="0">
      <alignment horizontal="center"/>
    </xf>
    <xf numFmtId="0" fontId="20" fillId="0" borderId="0" pivotButton="0" quotePrefix="0" xfId="0"/>
    <xf numFmtId="0" fontId="20" fillId="0" borderId="5" pivotButton="0" quotePrefix="0" xfId="0"/>
    <xf numFmtId="0" fontId="20" fillId="0" borderId="6" pivotButton="0" quotePrefix="0" xfId="0"/>
    <xf numFmtId="9" fontId="20" fillId="0" borderId="0" pivotButton="0" quotePrefix="0" xfId="2"/>
    <xf numFmtId="9" fontId="20" fillId="0" borderId="0" pivotButton="0" quotePrefix="0" xfId="0"/>
    <xf numFmtId="2" fontId="20" fillId="0" borderId="6" pivotButton="0" quotePrefix="0" xfId="0"/>
    <xf numFmtId="10" fontId="21" fillId="4" borderId="7" applyAlignment="1" pivotButton="0" quotePrefix="0" xfId="0">
      <alignment horizontal="center"/>
    </xf>
    <xf numFmtId="0" fontId="0" fillId="0" borderId="18" pivotButton="0" quotePrefix="0" xfId="0"/>
    <xf numFmtId="0" fontId="0" fillId="0" borderId="8" pivotButton="0" quotePrefix="0" xfId="0"/>
    <xf numFmtId="0" fontId="0" fillId="0" borderId="9" pivotButton="0" quotePrefix="0" xfId="0"/>
    <xf numFmtId="0" fontId="0" fillId="0" borderId="10" pivotButton="0" quotePrefix="0" xfId="0"/>
    <xf numFmtId="9" fontId="0" fillId="0" borderId="9" pivotButton="0" quotePrefix="0" xfId="2"/>
    <xf numFmtId="9" fontId="0" fillId="0" borderId="9" pivotButton="0" quotePrefix="0" xfId="0"/>
    <xf numFmtId="2" fontId="0" fillId="0" borderId="10" pivotButton="0" quotePrefix="0" xfId="0"/>
    <xf numFmtId="10" fontId="11" fillId="4" borderId="10" applyAlignment="1" pivotButton="0" quotePrefix="0" xfId="0">
      <alignment horizontal="center"/>
    </xf>
    <xf numFmtId="2" fontId="2" fillId="0" borderId="0" pivotButton="0" quotePrefix="0" xfId="0"/>
    <xf numFmtId="9" fontId="2" fillId="0" borderId="0" pivotButton="0" quotePrefix="0" xfId="2"/>
    <xf numFmtId="0" fontId="5" fillId="0" borderId="0" pivotButton="0" quotePrefix="0" xfId="0"/>
    <xf numFmtId="0" fontId="5" fillId="5" borderId="0" pivotButton="0" quotePrefix="0" xfId="0"/>
    <xf numFmtId="0" fontId="5" fillId="4" borderId="0" pivotButton="0" quotePrefix="0" xfId="0"/>
    <xf numFmtId="0" fontId="11" fillId="10" borderId="5" pivotButton="0" quotePrefix="0" xfId="0"/>
    <xf numFmtId="0" fontId="9" fillId="0" borderId="0" pivotButton="0" quotePrefix="0" xfId="0"/>
    <xf numFmtId="0" fontId="22" fillId="11" borderId="0" applyAlignment="1" pivotButton="0" quotePrefix="0" xfId="0">
      <alignment horizontal="left" vertical="center" wrapText="1" indent="3"/>
    </xf>
    <xf numFmtId="0" fontId="22" fillId="11" borderId="0" applyAlignment="1" pivotButton="0" quotePrefix="0" xfId="0">
      <alignment horizontal="left" vertical="center" wrapText="1" indent="1"/>
    </xf>
    <xf numFmtId="0" fontId="2" fillId="12" borderId="0" pivotButton="0" quotePrefix="0" xfId="0"/>
    <xf numFmtId="0" fontId="6" fillId="12" borderId="0" pivotButton="0" quotePrefix="0" xfId="0"/>
    <xf numFmtId="0" fontId="14" fillId="12" borderId="0" pivotButton="0" quotePrefix="0" xfId="0"/>
    <xf numFmtId="0" fontId="2" fillId="12" borderId="0" applyAlignment="1" pivotButton="0" quotePrefix="0" xfId="0">
      <alignment vertical="center" wrapText="1"/>
    </xf>
    <xf numFmtId="0" fontId="0" fillId="12" borderId="0" pivotButton="0" quotePrefix="0" xfId="0"/>
    <xf numFmtId="0" fontId="8" fillId="12" borderId="0" pivotButton="0" quotePrefix="0" xfId="0"/>
    <xf numFmtId="0" fontId="0" fillId="12" borderId="0" applyAlignment="1" pivotButton="0" quotePrefix="0" xfId="0">
      <alignment horizontal="left" vertical="center" indent="1"/>
    </xf>
    <xf numFmtId="2" fontId="0" fillId="12" borderId="0" pivotButton="0" quotePrefix="0" xfId="0"/>
    <xf numFmtId="0" fontId="7" fillId="12" borderId="0" pivotButton="0" quotePrefix="0" xfId="3"/>
    <xf numFmtId="0" fontId="15" fillId="12" borderId="0" pivotButton="0" quotePrefix="0" xfId="0"/>
    <xf numFmtId="0" fontId="8" fillId="12" borderId="0" applyAlignment="1" pivotButton="0" quotePrefix="0" xfId="0">
      <alignment horizontal="left" vertical="center" indent="1"/>
    </xf>
    <xf numFmtId="0" fontId="23" fillId="0" borderId="1" applyAlignment="1" pivotButton="0" quotePrefix="0" xfId="4">
      <alignment vertical="center"/>
    </xf>
    <xf numFmtId="0" fontId="23" fillId="0" borderId="0" applyAlignment="1" pivotButton="0" quotePrefix="0" xfId="4">
      <alignment vertical="center"/>
    </xf>
    <xf numFmtId="0" fontId="23" fillId="0" borderId="2" applyAlignment="1" pivotButton="0" quotePrefix="0" xfId="4">
      <alignment vertical="center"/>
    </xf>
    <xf numFmtId="0" fontId="23" fillId="0" borderId="3" applyAlignment="1" pivotButton="0" quotePrefix="0" xfId="4">
      <alignment vertical="center"/>
    </xf>
    <xf numFmtId="0" fontId="23" fillId="0" borderId="5" applyAlignment="1" pivotButton="0" quotePrefix="0" xfId="4">
      <alignment vertical="center"/>
    </xf>
    <xf numFmtId="0" fontId="23" fillId="0" borderId="6" applyAlignment="1" pivotButton="0" quotePrefix="0" xfId="4">
      <alignment vertical="center"/>
    </xf>
    <xf numFmtId="0" fontId="23" fillId="13" borderId="5" applyAlignment="1" pivotButton="0" quotePrefix="0" xfId="4">
      <alignment vertical="center"/>
    </xf>
    <xf numFmtId="0" fontId="23" fillId="13" borderId="0" applyAlignment="1" pivotButton="0" quotePrefix="0" xfId="4">
      <alignment vertical="center"/>
    </xf>
    <xf numFmtId="0" fontId="23" fillId="13" borderId="6" applyAlignment="1" pivotButton="0" quotePrefix="0" xfId="4">
      <alignment vertical="center"/>
    </xf>
    <xf numFmtId="0" fontId="23" fillId="13" borderId="9" applyAlignment="1" pivotButton="0" quotePrefix="0" xfId="4">
      <alignment vertical="center"/>
    </xf>
    <xf numFmtId="0" fontId="23" fillId="0" borderId="26" applyAlignment="1" pivotButton="0" quotePrefix="0" xfId="4">
      <alignment vertical="center"/>
    </xf>
    <xf numFmtId="0" fontId="23" fillId="0" borderId="17" applyAlignment="1" pivotButton="0" quotePrefix="0" xfId="4">
      <alignment vertical="center"/>
    </xf>
    <xf numFmtId="0" fontId="23" fillId="0" borderId="27" applyAlignment="1" pivotButton="0" quotePrefix="0" xfId="4">
      <alignment vertical="center"/>
    </xf>
    <xf numFmtId="0" fontId="23" fillId="0" borderId="28" applyAlignment="1" pivotButton="0" quotePrefix="0" xfId="4">
      <alignment vertical="center"/>
    </xf>
    <xf numFmtId="0" fontId="23" fillId="0" borderId="29" applyAlignment="1" pivotButton="0" quotePrefix="0" xfId="4">
      <alignment vertical="center"/>
    </xf>
    <xf numFmtId="0" fontId="23" fillId="0" borderId="30" applyAlignment="1" pivotButton="0" quotePrefix="0" xfId="4">
      <alignment vertical="center"/>
    </xf>
    <xf numFmtId="0" fontId="23" fillId="0" borderId="31" applyAlignment="1" pivotButton="0" quotePrefix="0" xfId="4">
      <alignment vertical="center"/>
    </xf>
    <xf numFmtId="0" fontId="23" fillId="0" borderId="32" applyAlignment="1" pivotButton="0" quotePrefix="0" xfId="4">
      <alignment vertical="center"/>
    </xf>
    <xf numFmtId="0" fontId="24" fillId="0" borderId="5" applyAlignment="1" pivotButton="0" quotePrefix="0" xfId="4">
      <alignment vertical="center"/>
    </xf>
    <xf numFmtId="0" fontId="24" fillId="0" borderId="6" applyAlignment="1" pivotButton="0" quotePrefix="0" xfId="4">
      <alignment horizontal="center" vertical="center"/>
    </xf>
    <xf numFmtId="0" fontId="24" fillId="0" borderId="0" applyAlignment="1" pivotButton="0" quotePrefix="0" xfId="4">
      <alignment horizontal="center" vertical="center"/>
    </xf>
    <xf numFmtId="0" fontId="24" fillId="0" borderId="5" applyAlignment="1" pivotButton="0" quotePrefix="0" xfId="4">
      <alignment horizontal="center" vertical="center"/>
    </xf>
    <xf numFmtId="0" fontId="24" fillId="0" borderId="0" applyAlignment="1" pivotButton="0" quotePrefix="0" xfId="4">
      <alignment vertical="center"/>
    </xf>
    <xf numFmtId="0" fontId="24" fillId="0" borderId="6" applyAlignment="1" pivotButton="0" quotePrefix="0" xfId="4">
      <alignment vertical="center"/>
    </xf>
    <xf numFmtId="0" fontId="23" fillId="0" borderId="5" applyAlignment="1" pivotButton="0" quotePrefix="0" xfId="4">
      <alignment vertical="center" wrapText="1"/>
    </xf>
    <xf numFmtId="0" fontId="24" fillId="0" borderId="14" applyAlignment="1" pivotButton="0" quotePrefix="0" xfId="4">
      <alignment horizontal="center" vertical="center" wrapText="1"/>
    </xf>
    <xf numFmtId="0" fontId="24" fillId="0" borderId="25" applyAlignment="1" pivotButton="0" quotePrefix="0" xfId="4">
      <alignment horizontal="center" vertical="center" wrapText="1"/>
    </xf>
    <xf numFmtId="0" fontId="24" fillId="0" borderId="33" applyAlignment="1" pivotButton="0" quotePrefix="0" xfId="4">
      <alignment horizontal="center" vertical="center" wrapText="1"/>
    </xf>
    <xf numFmtId="0" fontId="24" fillId="0" borderId="6" applyAlignment="1" pivotButton="0" quotePrefix="0" xfId="4">
      <alignment horizontal="center" vertical="center" wrapText="1"/>
    </xf>
    <xf numFmtId="0" fontId="24" fillId="0" borderId="0" applyAlignment="1" pivotButton="0" quotePrefix="0" xfId="4">
      <alignment horizontal="center" vertical="center" wrapText="1"/>
    </xf>
    <xf numFmtId="0" fontId="24" fillId="0" borderId="5" applyAlignment="1" pivotButton="0" quotePrefix="0" xfId="4">
      <alignment horizontal="center" vertical="center" wrapText="1"/>
    </xf>
    <xf numFmtId="0" fontId="23" fillId="0" borderId="0" applyAlignment="1" pivotButton="0" quotePrefix="0" xfId="4">
      <alignment vertical="center" wrapText="1"/>
    </xf>
    <xf numFmtId="0" fontId="25" fillId="0" borderId="0" applyAlignment="1" pivotButton="0" quotePrefix="0" xfId="4">
      <alignment horizontal="center" vertical="center" wrapText="1"/>
    </xf>
    <xf numFmtId="0" fontId="23" fillId="0" borderId="6" applyAlignment="1" pivotButton="0" quotePrefix="0" xfId="4">
      <alignment vertical="center" wrapText="1"/>
    </xf>
    <xf numFmtId="0" fontId="24" fillId="0" borderId="28" applyAlignment="1" pivotButton="0" quotePrefix="0" xfId="4">
      <alignment horizontal="center" vertical="center" wrapText="1"/>
    </xf>
    <xf numFmtId="0" fontId="23" fillId="0" borderId="25" applyAlignment="1" pivotButton="0" quotePrefix="0" xfId="4">
      <alignment horizontal="center" vertical="center"/>
    </xf>
    <xf numFmtId="166" fontId="23" fillId="0" borderId="25" applyAlignment="1" pivotButton="0" quotePrefix="0" xfId="4">
      <alignment horizontal="center" vertical="center"/>
    </xf>
    <xf numFmtId="166" fontId="23" fillId="0" borderId="30" applyAlignment="1" pivotButton="0" quotePrefix="0" xfId="4">
      <alignment horizontal="center" vertical="center"/>
    </xf>
    <xf numFmtId="166" fontId="23" fillId="0" borderId="6" applyAlignment="1" pivotButton="0" quotePrefix="0" xfId="4">
      <alignment horizontal="center" vertical="center"/>
    </xf>
    <xf numFmtId="166" fontId="23" fillId="0" borderId="0" applyAlignment="1" pivotButton="0" quotePrefix="0" xfId="4">
      <alignment horizontal="center" vertical="center"/>
    </xf>
    <xf numFmtId="166" fontId="23" fillId="0" borderId="5" applyAlignment="1" pivotButton="0" quotePrefix="0" xfId="4">
      <alignment horizontal="center" vertical="center"/>
    </xf>
    <xf numFmtId="1" fontId="23" fillId="0" borderId="25" applyAlignment="1" pivotButton="0" quotePrefix="0" xfId="4">
      <alignment horizontal="center" vertical="center"/>
    </xf>
    <xf numFmtId="1" fontId="23" fillId="0" borderId="30" applyAlignment="1" pivotButton="0" quotePrefix="0" xfId="4">
      <alignment horizontal="center" vertical="center"/>
    </xf>
    <xf numFmtId="9" fontId="23" fillId="0" borderId="5" applyAlignment="1" pivotButton="0" quotePrefix="0" xfId="5">
      <alignment vertical="center"/>
    </xf>
    <xf numFmtId="0" fontId="23" fillId="0" borderId="8" applyAlignment="1" pivotButton="0" quotePrefix="0" xfId="4">
      <alignment vertical="center"/>
    </xf>
    <xf numFmtId="0" fontId="23" fillId="0" borderId="34" applyAlignment="1" pivotButton="0" quotePrefix="0" xfId="4">
      <alignment horizontal="center" vertical="center"/>
    </xf>
    <xf numFmtId="166" fontId="23" fillId="0" borderId="34" applyAlignment="1" pivotButton="0" quotePrefix="0" xfId="4">
      <alignment horizontal="center" vertical="center"/>
    </xf>
    <xf numFmtId="166" fontId="23" fillId="0" borderId="35" applyAlignment="1" pivotButton="0" quotePrefix="0" xfId="4">
      <alignment horizontal="center" vertical="center"/>
    </xf>
    <xf numFmtId="166" fontId="23" fillId="0" borderId="10" applyAlignment="1" pivotButton="0" quotePrefix="0" xfId="4">
      <alignment horizontal="center" vertical="center"/>
    </xf>
    <xf numFmtId="0" fontId="23" fillId="0" borderId="9" applyAlignment="1" pivotButton="0" quotePrefix="0" xfId="4">
      <alignment vertical="center"/>
    </xf>
    <xf numFmtId="166" fontId="23" fillId="0" borderId="9" applyAlignment="1" pivotButton="0" quotePrefix="0" xfId="4">
      <alignment horizontal="center" vertical="center"/>
    </xf>
    <xf numFmtId="1" fontId="23" fillId="0" borderId="35" applyAlignment="1" pivotButton="0" quotePrefix="0" xfId="4">
      <alignment horizontal="center" vertical="center"/>
    </xf>
    <xf numFmtId="0" fontId="23" fillId="0" borderId="10" applyAlignment="1" pivotButton="0" quotePrefix="0" xfId="4">
      <alignment vertical="center"/>
    </xf>
    <xf numFmtId="0" fontId="27" fillId="0" borderId="0" applyAlignment="1" pivotButton="0" quotePrefix="0" xfId="4">
      <alignment horizontal="left" vertical="center"/>
    </xf>
    <xf numFmtId="0" fontId="27" fillId="0" borderId="0" applyAlignment="1" pivotButton="0" quotePrefix="0" xfId="4">
      <alignment vertical="center"/>
    </xf>
    <xf numFmtId="166" fontId="23" fillId="0" borderId="5" applyAlignment="1" pivotButton="0" quotePrefix="0" xfId="4">
      <alignment vertical="center"/>
    </xf>
    <xf numFmtId="166" fontId="23" fillId="0" borderId="0" applyAlignment="1" pivotButton="0" quotePrefix="0" xfId="4">
      <alignment vertical="center"/>
    </xf>
    <xf numFmtId="166" fontId="23" fillId="0" borderId="8" applyAlignment="1" pivotButton="0" quotePrefix="0" xfId="4">
      <alignment horizontal="center" vertical="center"/>
    </xf>
    <xf numFmtId="1" fontId="23" fillId="0" borderId="34" applyAlignment="1" pivotButton="0" quotePrefix="0" xfId="4">
      <alignment horizontal="center" vertical="center"/>
    </xf>
    <xf numFmtId="0" fontId="23" fillId="0" borderId="0" applyAlignment="1" pivotButton="0" quotePrefix="0" xfId="4">
      <alignment horizontal="center" vertical="center"/>
    </xf>
    <xf numFmtId="0" fontId="29" fillId="0" borderId="0" applyAlignment="1" pivotButton="0" quotePrefix="0" xfId="4">
      <alignment vertical="center" wrapText="1"/>
    </xf>
    <xf numFmtId="166" fontId="29" fillId="0" borderId="0" applyAlignment="1" pivotButton="0" quotePrefix="0" xfId="4">
      <alignment vertical="center" wrapText="1"/>
    </xf>
    <xf numFmtId="0" fontId="3" fillId="2" borderId="16" applyAlignment="1" pivotButton="0" quotePrefix="0" xfId="0">
      <alignment horizontal="center"/>
    </xf>
    <xf numFmtId="0" fontId="3" fillId="2" borderId="17" applyAlignment="1" pivotButton="0" quotePrefix="0" xfId="0">
      <alignment horizontal="center"/>
    </xf>
    <xf numFmtId="0" fontId="3" fillId="2" borderId="18" applyAlignment="1" pivotButton="0" quotePrefix="0" xfId="0">
      <alignment horizontal="center"/>
    </xf>
    <xf numFmtId="0" fontId="9" fillId="2" borderId="22" applyAlignment="1" pivotButton="0" quotePrefix="0" xfId="0">
      <alignment horizontal="center"/>
    </xf>
    <xf numFmtId="0" fontId="9" fillId="2" borderId="23" applyAlignment="1" pivotButton="0" quotePrefix="0" xfId="0">
      <alignment horizontal="center"/>
    </xf>
    <xf numFmtId="0" fontId="9" fillId="2" borderId="24" applyAlignment="1" pivotButton="0" quotePrefix="0" xfId="0">
      <alignment horizontal="center"/>
    </xf>
    <xf numFmtId="0" fontId="24" fillId="0" borderId="26" applyAlignment="1" pivotButton="0" quotePrefix="0" xfId="4">
      <alignment horizontal="center" vertical="center"/>
    </xf>
    <xf numFmtId="0" fontId="24" fillId="0" borderId="33" applyAlignment="1" pivotButton="0" quotePrefix="0" xfId="4">
      <alignment horizontal="center" vertical="center"/>
    </xf>
    <xf numFmtId="0" fontId="24" fillId="0" borderId="13" applyAlignment="1" pivotButton="0" quotePrefix="0" xfId="4">
      <alignment horizontal="center" vertical="center"/>
    </xf>
    <xf numFmtId="0" fontId="24" fillId="0" borderId="14" applyAlignment="1" pivotButton="0" quotePrefix="0" xfId="4">
      <alignment horizontal="center" vertical="center"/>
    </xf>
    <xf numFmtId="0" fontId="24" fillId="0" borderId="18" applyAlignment="1" pivotButton="0" quotePrefix="0" xfId="4">
      <alignment horizontal="center" vertical="center"/>
    </xf>
    <xf numFmtId="0" fontId="24" fillId="0" borderId="12" applyAlignment="1" pivotButton="0" quotePrefix="0" xfId="4">
      <alignment horizontal="center" vertical="center"/>
    </xf>
    <xf numFmtId="0" fontId="24" fillId="0" borderId="28" applyAlignment="1" pivotButton="0" quotePrefix="0" xfId="4">
      <alignment horizontal="center" vertical="center"/>
    </xf>
    <xf numFmtId="0" fontId="24" fillId="0" borderId="30" applyAlignment="1" pivotButton="0" quotePrefix="0" xfId="4">
      <alignment horizontal="center" vertical="center"/>
    </xf>
    <xf numFmtId="0" fontId="24" fillId="0" borderId="29" applyAlignment="1" pivotButton="0" quotePrefix="0" xfId="4">
      <alignment horizontal="center" vertical="center"/>
    </xf>
  </cellXfs>
  <cellStyles count="6">
    <cellStyle name="Normal" xfId="0" builtinId="0"/>
    <cellStyle name="Comma" xfId="1" builtinId="3"/>
    <cellStyle name="Percent" xfId="2" builtinId="5"/>
    <cellStyle name="Hyperlink" xfId="3" builtinId="8"/>
    <cellStyle name="Normal 10" xfId="4"/>
    <cellStyle name="Percent 2" xfId="5"/>
  </cellStyles>
  <dxfs count="6">
    <dxf>
      <font>
        <color rgb="FFF2F2F2"/>
      </font>
      <fill>
        <patternFill/>
      </fill>
    </dxf>
    <dxf>
      <font>
        <color rgb="FFF2F2F2"/>
      </font>
      <fill>
        <patternFill/>
      </fill>
    </dxf>
    <dxf>
      <font>
        <color rgb="FFF2F2F2"/>
      </font>
      <fill>
        <patternFill/>
      </fill>
    </dxf>
    <dxf>
      <font>
        <color rgb="FFF2F2F2"/>
      </font>
      <fill>
        <patternFill/>
      </fill>
    </dxf>
    <dxf>
      <font>
        <color rgb="FFF2F2F2"/>
      </font>
      <fill>
        <patternFill/>
      </fill>
    </dxf>
    <dxf>
      <font>
        <color rgb="FFF2F2F2"/>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tc={2D6348E3-E364-4252-82CD-40015DCDCCBF}</author>
    <author>tc={5D45ED9C-7713-4697-A950-5F21FEACFA26}</author>
    <author>tc={9CEF68BC-D98E-46D5-A4B8-07085ABDCA4B}</author>
    <author>tc={E35D99DB-87CD-4986-A04D-E59268DC6C9A}</author>
    <author>tc={254F2167-DC2A-4085-A11A-9D6DC0C6A930}</author>
    <author>tc={629A6A55-1000-47C7-A9F4-255D1C655EAE}</author>
    <author>tc={CB802B43-0297-4FFB-9331-C8B36A7696DF}</author>
    <author>tc={FE53C488-FBFB-4337-AEB3-FB35C368A828}</author>
    <author>tc={15922215-48B3-4AAB-8DAB-8231569ECE7A}</author>
    <author>tc={FCCF20D3-1B92-4B45-AA9D-0E1B11ECF36C}</author>
    <author>tc={A148DD63-932B-4A00-9EA0-F37F3BB0F1B4}</author>
    <author>tc={B4D0A842-F6B0-4B80-9539-2435FE10556C}</author>
    <author>tc={D3343384-45C9-46C8-80FE-BEB315CD3F26}</author>
    <author>tc={E45B58ED-731C-4F16-B285-1055BFC9F1C6}</author>
    <author>tc={4720FD64-37F6-4C1E-9841-BD9016C5871D}</author>
    <author>tc={65F39AB0-EB69-465E-839E-6CF77361522F}</author>
    <author>tc={2A9958B0-5109-45FF-A0CA-50B50A1D4133}</author>
    <author>tc={DAD49E5E-6589-420F-B1BC-E716B80465E1}</author>
    <author>tc={A90DB231-803C-4AD4-B5D0-D702865FD584}</author>
    <author>tc={1290604C-5B3A-4E11-BCD3-A1ECD043DF10}</author>
    <author>tc={3E46D412-90E9-43AE-8D11-4E34CB890F4C}</author>
    <author>tc={C5CC1320-3BD9-45BF-BD46-D4CFA6C44E98}</author>
    <author>tc={45DE30EA-2468-42D5-8A5B-C158BBF97ED3}</author>
    <author>tc={8388127E-BA2F-4197-8F7D-E43CCA87E5A4}</author>
    <author>tc={3D7D7657-8D52-440A-A996-9CE5B8B75231}</author>
    <author>tc={86878E68-15DB-4813-A8A4-E644D3DAF3F6}</author>
    <author>tc={757C8C4F-4DD2-42A0-909A-093C45EB86C3}</author>
    <author>tc={6743C3A4-0A8A-40E3-9E7E-ADFBFF9C099C}</author>
  </authors>
  <commentList>
    <comment ref="B3" authorId="0" shapeId="0">
      <text>
        <t xml:space="preserve">[Threaded comment]
Your version of Excel allows you to read this threaded comment; however, any edits to it will get removed if the file is opened in a newer version of Excel. Learn more: https://go.microsoft.com/fwlink/?linkid=870924
Comment:
    2021 Pilot program for zero carbon aluminum production
Reply:
    ELYSIS represents a groundbreaking development in aluminum smelting, utilizing inert anode technology to eliminate direct greenhouse gas emissions. As this technology is currently in the pilot phase, comprehensive data on its operational lifespan are not yet available. The longevity of ELYSIS-based smelters will depend on factors such as scalability, maintenance requirements, and long-term performance outcomes. </t>
      </text>
    </comment>
    <comment ref="B4" authorId="1" shapeId="0">
      <text>
        <t>[Threaded comment]
Your version of Excel allows you to read this threaded comment; however, any edits to it will get removed if the file is opened in a newer version of Excel. Learn more: https://go.microsoft.com/fwlink/?linkid=870924
Comment:
    50+ years based on currently operating smelters as late 60s and early 70s saw the introduction of these methods and little else is known.</t>
      </text>
    </comment>
    <comment ref="P4" authorId="2" shapeId="0">
      <text>
        <t>[Threaded comment]
Your version of Excel allows you to read this threaded comment; however, any edits to it will get removed if the file is opened in a newer version of Excel. Learn more: https://go.microsoft.com/fwlink/?linkid=870924
Comment:
    Why does this become 0 as opposed to representing a negative net annual change in TJ… potentially becoming an old/outdated so it is not considered in the marginal mix. Won't be contributing to additional marginal capacity but can still produce/carry expected/current weight.</t>
      </text>
    </comment>
    <comment ref="C5" authorId="3" shapeId="0">
      <text>
        <t>[Threaded comment]
Your version of Excel allows you to read this threaded comment; however, any edits to it will get removed if the file is opened in a newer version of Excel. Learn more: https://go.microsoft.com/fwlink/?linkid=870924
Comment:
    Not producing desired product</t>
      </text>
    </comment>
    <comment ref="A7" authorId="4" shapeId="0">
      <text>
        <t>[Threaded comment]
Your version of Excel allows you to read this threaded comment; however, any edits to it will get removed if the file is opened in a newer version of Excel. Learn more: https://go.microsoft.com/fwlink/?linkid=870924
Comment:
    Formerly known as Chicoutimi
Reply:
    $1.1 billion USD to be invested into low-carbon tech increasing capacity by 160,000 tonnes, adding 96 new AP60 pots (134 pots total with 220,000 tonnes capacity) . Arvida potrooms will be closing. Expected completion in 2026.
Reply:
    1.6 tonnes of CO2e/tonne of steel alum vs existing 3.2 tonnes of CO2e/tonne
Reply:
    Closing</t>
      </text>
    </comment>
    <comment ref="B7" authorId="5" shapeId="0">
      <text>
        <t xml:space="preserve">[Threaded comment]
Your version of Excel allows you to read this threaded comment; however, any edits to it will get removed if the file is opened in a newer version of Excel. Learn more: https://go.microsoft.com/fwlink/?linkid=870924
Comment:
    AP60 and AP40 are advanced prebake technologies developed to enhance energy efficiency and reduce emissions. While these technologies are relatively recent, their design builds upon the proven durability of traditional prebake systems. Given the industry's trend of extending smelter lifespans through technological upgrades, it is reasonable to estimate that smelters employing AP60 and AP40 technologies could operate effectively for 40 to 60 years. However, specific lifespan data for these technologies are limited due to their recent introduction. </t>
      </text>
    </comment>
    <comment ref="I7" authorId="6" shapeId="0">
      <text>
        <t>[Threaded comment]
Your version of Excel allows you to read this threaded comment; however, any edits to it will get removed if the file is opened in a newer version of Excel. Learn more: https://go.microsoft.com/fwlink/?linkid=870924
Comment:
    234,000  production but going to 0 during reno. Manually override.</t>
      </text>
    </comment>
    <comment ref="A8" authorId="7" shapeId="0">
      <text>
        <t>[Threaded comment]
Your version of Excel allows you to read this threaded comment; however, any edits to it will get removed if the file is opened in a newer version of Excel. Learn more: https://go.microsoft.com/fwlink/?linkid=870924
Comment:
    Formerly known as Chicoutimi
Reply:
    $1.1 billion USD to be invested into low-carbon tech increasing capacity by 160,000 tonnes, adding 96 new AP60 pots (134 pots total with 220,000 tonnes capacity) . Arvida potrooms will be closing. Expected completion in 2026.
Reply:
    1.6 tonnes of CO2e/tonne of steel alum vs existing 3.2 tonnes of CO2e/tonne
Reply:
    Closing</t>
      </text>
    </comment>
    <comment ref="C10" authorId="8" shapeId="0">
      <text>
        <t>[Threaded comment]
Your version of Excel allows you to read this threaded comment; however, any edits to it will get removed if the file is opened in a newer version of Excel. Learn more: https://go.microsoft.com/fwlink/?linkid=870924
Comment:
    Not producing desired products</t>
      </text>
    </comment>
    <comment ref="A11" authorId="9" shapeId="0">
      <text>
        <t>[Threaded comment]
Your version of Excel allows you to read this threaded comment; however, any edits to it will get removed if the file is opened in a newer version of Excel. Learn more: https://go.microsoft.com/fwlink/?linkid=870924
Comment:
    25% owned by Rio Tinto
Reply:
    Alcoa has company wide 916,000 mtpy of idle capacity relative to the total consolidated capacity of 3,173,000</t>
      </text>
    </comment>
    <comment ref="E11" authorId="10" shapeId="0">
      <text>
        <t>[Threaded comment]
Your version of Excel allows you to read this threaded comment; however, any edits to it will get removed if the file is opened in a newer version of Excel. Learn more: https://go.microsoft.com/fwlink/?linkid=870924
Comment:
    2017 as 2018 is not representative of consistent historical production</t>
      </text>
    </comment>
    <comment ref="I11" authorId="11" shapeId="0">
      <text>
        <t>[Threaded comment]
Your version of Excel allows you to read this threaded comment; however, any edits to it will get removed if the file is opened in a newer version of Excel. Learn more: https://go.microsoft.com/fwlink/?linkid=870924
Comment:
    Has capacity of 467,000 but currently producing 350,000</t>
      </text>
    </comment>
    <comment ref="A13" authorId="12" shapeId="0">
      <text>
        <t>[Threaded comment]
Your version of Excel allows you to read this threaded comment; however, any edits to it will get removed if the file is opened in a newer version of Excel. Learn more: https://go.microsoft.com/fwlink/?linkid=870924
Comment:
    Closed</t>
      </text>
    </comment>
    <comment ref="I14" authorId="13" shapeId="0">
      <text>
        <t>[Threaded comment]
Your version of Excel allows you to read this threaded comment; however, any edits to it will get removed if the file is opened in a newer version of Excel. Learn more: https://go.microsoft.com/fwlink/?linkid=870924
Comment:
    Overall positive trend so modern, competitive tech is the focus.</t>
      </text>
    </comment>
    <comment ref="N14" authorId="14" shapeId="0">
      <text>
        <t>[Threaded comment]
Your version of Excel allows you to read this threaded comment; however, any edits to it will get removed if the file is opened in a newer version of Excel. Learn more: https://go.microsoft.com/fwlink/?linkid=870924
Comment:
    Market trend?</t>
      </text>
    </comment>
    <comment ref="A15" authorId="15" shapeId="0">
      <text>
        <t>[Threaded comment]
Your version of Excel allows you to read this threaded comment; however, any edits to it will get removed if the file is opened in a newer version of Excel. Learn more: https://go.microsoft.com/fwlink/?linkid=870924
Comment:
    Ref: https://www.international.gc.ca/trade-commerce/controls-controles/aluminum-aluminium/index.aspx?lang=eng</t>
      </text>
    </comment>
    <comment ref="E15" authorId="16" shapeId="0">
      <text>
        <t>[Threaded comment]
Your version of Excel allows you to read this threaded comment; however, any edits to it will get removed if the file is opened in a newer version of Excel. Learn more: https://go.microsoft.com/fwlink/?linkid=870924
Comment:
    If marked red it is from 2020 because we had no previous data on imports</t>
      </text>
    </comment>
    <comment ref="E18" authorId="17" shapeId="0">
      <text>
        <t>[Threaded comment]
Your version of Excel allows you to read this threaded comment; however, any edits to it will get removed if the file is opened in a newer version of Excel. Learn more: https://go.microsoft.com/fwlink/?linkid=870924
Comment:
    2020</t>
      </text>
    </comment>
    <comment ref="E24" authorId="18" shapeId="0">
      <text>
        <t>[Threaded comment]
Your version of Excel allows you to read this threaded comment; however, any edits to it will get removed if the file is opened in a newer version of Excel. Learn more: https://go.microsoft.com/fwlink/?linkid=870924
Comment:
    2020</t>
      </text>
    </comment>
    <comment ref="E27" authorId="19" shapeId="0">
      <text>
        <t>[Threaded comment]
Your version of Excel allows you to read this threaded comment; however, any edits to it will get removed if the file is opened in a newer version of Excel. Learn more: https://go.microsoft.com/fwlink/?linkid=870924
Comment:
    2020</t>
      </text>
    </comment>
    <comment ref="E28" authorId="20" shapeId="0">
      <text>
        <t>[Threaded comment]
Your version of Excel allows you to read this threaded comment; however, any edits to it will get removed if the file is opened in a newer version of Excel. Learn more: https://go.microsoft.com/fwlink/?linkid=870924
Comment:
    2021</t>
      </text>
    </comment>
    <comment ref="E35" authorId="21" shapeId="0">
      <text>
        <t>[Threaded comment]
Your version of Excel allows you to read this threaded comment; however, any edits to it will get removed if the file is opened in a newer version of Excel. Learn more: https://go.microsoft.com/fwlink/?linkid=870924
Comment:
    2020</t>
      </text>
    </comment>
    <comment ref="E36" authorId="22" shapeId="0">
      <text>
        <t>[Threaded comment]
Your version of Excel allows you to read this threaded comment; however, any edits to it will get removed if the file is opened in a newer version of Excel. Learn more: https://go.microsoft.com/fwlink/?linkid=870924
Comment:
    No more recent historical data with imports</t>
      </text>
    </comment>
    <comment ref="E37" authorId="23" shapeId="0">
      <text>
        <t>[Threaded comment]
Your version of Excel allows you to read this threaded comment; however, any edits to it will get removed if the file is opened in a newer version of Excel. Learn more: https://go.microsoft.com/fwlink/?linkid=870924
Comment:
    2021</t>
      </text>
    </comment>
    <comment ref="E49" authorId="24" shapeId="0">
      <text>
        <t>[Threaded comment]
Your version of Excel allows you to read this threaded comment; however, any edits to it will get removed if the file is opened in a newer version of Excel. Learn more: https://go.microsoft.com/fwlink/?linkid=870924
Comment:
    2021</t>
      </text>
    </comment>
    <comment ref="E60" authorId="25" shapeId="0">
      <text>
        <t>[Threaded comment]
Your version of Excel allows you to read this threaded comment; however, any edits to it will get removed if the file is opened in a newer version of Excel. Learn more: https://go.microsoft.com/fwlink/?linkid=870924
Comment:
    2022</t>
      </text>
    </comment>
    <comment ref="E61" authorId="26" shapeId="0">
      <text>
        <t>[Threaded comment]
Your version of Excel allows you to read this threaded comment; however, any edits to it will get removed if the file is opened in a newer version of Excel. Learn more: https://go.microsoft.com/fwlink/?linkid=870924
Comment:
    2022</t>
      </text>
    </comment>
    <comment ref="E68" authorId="27" shapeId="0">
      <text>
        <t>[Threaded comment]
Your version of Excel allows you to read this threaded comment; however, any edits to it will get removed if the file is opened in a newer version of Excel. Learn more: https://go.microsoft.com/fwlink/?linkid=870924
Comment:
    2022</t>
      </text>
    </comment>
  </commentList>
</comments>
</file>

<file path=xl/externalLinks/_rels/externalLink1.xml.rels><Relationships xmlns="http://schemas.openxmlformats.org/package/2006/relationships"><Relationship Type="http://schemas.openxmlformats.org/officeDocument/2006/relationships/externalLinkPath" Target="https://uofwaterloo-my.sharepoint.com/personal/mkldowli_uwaterloo_ca/Documents/1_MASc/3_Theoretical%20Analysis/LCA%20Analysis/Brightway/LCI.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LCI"/>
      <sheetName val="LCI (2)"/>
      <sheetName val="Search Terms"/>
      <sheetName val="Ontario Elec. Example_Future"/>
      <sheetName val="Ontario Elec. Example_Current"/>
      <sheetName val="Imports v Exports Elec."/>
      <sheetName val="AB Elec. Example_Current"/>
      <sheetName val="BC Elec. Example_Current"/>
      <sheetName val="QC Elec. Example_Current"/>
      <sheetName val="Canada Elec Example_Current_new"/>
      <sheetName val="Canada Elec Example_Current_old"/>
      <sheetName val="CA Elec Imports_2024"/>
      <sheetName val="CA Elec Imports_2022"/>
      <sheetName val="CA Elec Imports_2020"/>
      <sheetName val="CA Elec Imports_2019"/>
      <sheetName val="All Alum. Producers"/>
      <sheetName val="All Alum. Producers_no_imports"/>
      <sheetName val="Alum_Production_Current_billet"/>
      <sheetName val="Alum_Production_Prospect_billet"/>
      <sheetName val="Alum_Production_Current_profile"/>
      <sheetName val="Alum_Production_Prospect_profil"/>
      <sheetName val="Alum. Production_Future_New"/>
      <sheetName val="Int._Alum_Imports_2019"/>
      <sheetName val="Int._Alum_Imports_2023"/>
      <sheetName val="Hydrogen_Prod_Current"/>
      <sheetName val="Hydrogen_Prod_Future"/>
      <sheetName val="AB Hydrogen Production Calcs"/>
      <sheetName val="Crude_Steel Production_Overall"/>
      <sheetName val="Crude_Steel Production_Current"/>
      <sheetName val="Int._Steel_Imports"/>
      <sheetName val="Downstream_Steel_Prods_Current"/>
      <sheetName val="Mass Timber Production_Base"/>
      <sheetName val="Mass Timber Production_Current"/>
      <sheetName val="Mass Timber Production_Future"/>
      <sheetName val="Glass_Production_Current"/>
      <sheetName val="Int._680610_Imports_2022"/>
      <sheetName val="Int._701980_Imports"/>
      <sheetName val="Ins_Production_Curr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B2" t="str">
            <v>United Arab Emirates</v>
          </cell>
          <cell r="C2">
            <v>1859.50389</v>
          </cell>
          <cell r="H2">
            <v>7235.6415800000004</v>
          </cell>
        </row>
        <row r="3">
          <cell r="B3" t="str">
            <v>Albania</v>
          </cell>
          <cell r="C3">
            <v>23.635999999999999</v>
          </cell>
          <cell r="H3">
            <v>434.30691000000002</v>
          </cell>
        </row>
        <row r="4">
          <cell r="B4" t="str">
            <v>Argentina</v>
          </cell>
          <cell r="H4">
            <v>5.5472299999999999</v>
          </cell>
        </row>
        <row r="5">
          <cell r="B5" t="str">
            <v>Austria</v>
          </cell>
          <cell r="C5">
            <v>368.76584000000003</v>
          </cell>
          <cell r="H5">
            <v>912.7192</v>
          </cell>
        </row>
        <row r="6">
          <cell r="B6" t="str">
            <v>Australia</v>
          </cell>
          <cell r="C6">
            <v>3.03823</v>
          </cell>
          <cell r="H6">
            <v>5749.81477</v>
          </cell>
        </row>
        <row r="7">
          <cell r="B7" t="str">
            <v>Azerbaijan</v>
          </cell>
          <cell r="C7">
            <v>99.897000000000006</v>
          </cell>
          <cell r="H7">
            <v>189.57312999999999</v>
          </cell>
        </row>
        <row r="8">
          <cell r="B8" t="str">
            <v>Bosnia and Herzegovina</v>
          </cell>
          <cell r="C8">
            <v>0.63368000000000002</v>
          </cell>
          <cell r="H8">
            <v>21.030090000000001</v>
          </cell>
        </row>
        <row r="9">
          <cell r="B9" t="str">
            <v>Belgium</v>
          </cell>
          <cell r="C9">
            <v>316.40962000000002</v>
          </cell>
          <cell r="H9">
            <v>3681.6550400000001</v>
          </cell>
        </row>
        <row r="10">
          <cell r="B10" t="str">
            <v>Bulgaria</v>
          </cell>
          <cell r="H10">
            <v>111.29968</v>
          </cell>
        </row>
        <row r="11">
          <cell r="B11" t="str">
            <v>Bahrain</v>
          </cell>
          <cell r="C11">
            <v>1648.2999</v>
          </cell>
          <cell r="H11">
            <v>9587.3621500000008</v>
          </cell>
        </row>
        <row r="12">
          <cell r="B12" t="str">
            <v>Brazil</v>
          </cell>
          <cell r="C12">
            <v>45.148670000000003</v>
          </cell>
          <cell r="H12">
            <v>119.0989</v>
          </cell>
        </row>
        <row r="13">
          <cell r="B13" t="str">
            <v>Belarus</v>
          </cell>
          <cell r="H13">
            <v>14.76126</v>
          </cell>
        </row>
        <row r="14">
          <cell r="B14" t="str">
            <v>Belize</v>
          </cell>
          <cell r="H14">
            <v>15.67398</v>
          </cell>
        </row>
        <row r="15">
          <cell r="B15" t="str">
            <v>Switzerland</v>
          </cell>
          <cell r="C15">
            <v>72.447320000000005</v>
          </cell>
          <cell r="H15">
            <v>116.11454000000001</v>
          </cell>
        </row>
        <row r="16">
          <cell r="B16" t="str">
            <v>China</v>
          </cell>
          <cell r="C16">
            <v>43160.16865</v>
          </cell>
          <cell r="H16">
            <v>196974.26169000001</v>
          </cell>
        </row>
        <row r="17">
          <cell r="B17" t="str">
            <v>Colombia</v>
          </cell>
          <cell r="C17">
            <v>0.54117999999999999</v>
          </cell>
          <cell r="H17">
            <v>14.531370000000001</v>
          </cell>
        </row>
        <row r="18">
          <cell r="B18" t="str">
            <v>Czechia</v>
          </cell>
          <cell r="C18">
            <v>369.04520000000002</v>
          </cell>
          <cell r="H18">
            <v>123.74845999999999</v>
          </cell>
        </row>
        <row r="19">
          <cell r="B19" t="str">
            <v>Germany</v>
          </cell>
          <cell r="C19">
            <v>5301.1532500000003</v>
          </cell>
          <cell r="H19">
            <v>17213.591230000002</v>
          </cell>
        </row>
        <row r="20">
          <cell r="B20" t="str">
            <v>Denmark</v>
          </cell>
          <cell r="C20">
            <v>1.1100000000000001</v>
          </cell>
          <cell r="H20">
            <v>1.59494</v>
          </cell>
        </row>
        <row r="21">
          <cell r="B21" t="str">
            <v>Dominican Republic</v>
          </cell>
          <cell r="H21">
            <v>225.5779</v>
          </cell>
        </row>
        <row r="22">
          <cell r="B22" t="str">
            <v>Algeria</v>
          </cell>
          <cell r="H22">
            <v>0.96057000000000003</v>
          </cell>
        </row>
        <row r="23">
          <cell r="B23" t="str">
            <v>Ecuador</v>
          </cell>
          <cell r="H23">
            <v>51.120930000000001</v>
          </cell>
        </row>
        <row r="24">
          <cell r="B24" t="str">
            <v>Egypt</v>
          </cell>
          <cell r="C24">
            <v>3.0794199999999998</v>
          </cell>
          <cell r="H24">
            <v>126.605</v>
          </cell>
        </row>
        <row r="25">
          <cell r="B25" t="str">
            <v>Spain</v>
          </cell>
          <cell r="C25">
            <v>1991.6153999999999</v>
          </cell>
          <cell r="H25">
            <v>4865.8932399999994</v>
          </cell>
        </row>
        <row r="26">
          <cell r="B26" t="str">
            <v>Ethiopia</v>
          </cell>
          <cell r="H26">
            <v>3.4929999999999999</v>
          </cell>
        </row>
        <row r="27">
          <cell r="B27" t="str">
            <v>Finland</v>
          </cell>
          <cell r="C27">
            <v>39.777000000000001</v>
          </cell>
          <cell r="H27">
            <v>925.00328999999999</v>
          </cell>
        </row>
        <row r="28">
          <cell r="B28" t="str">
            <v>France</v>
          </cell>
          <cell r="C28">
            <v>1025.1135200000001</v>
          </cell>
          <cell r="H28">
            <v>707.13518999999997</v>
          </cell>
        </row>
        <row r="29">
          <cell r="B29" t="str">
            <v>United Kingdom</v>
          </cell>
          <cell r="C29">
            <v>561.22299999999996</v>
          </cell>
          <cell r="H29">
            <v>1541.58412</v>
          </cell>
        </row>
        <row r="30">
          <cell r="B30" t="str">
            <v>Greece</v>
          </cell>
          <cell r="C30">
            <v>451.27931999999998</v>
          </cell>
          <cell r="H30">
            <v>2182.3042700000001</v>
          </cell>
        </row>
        <row r="31">
          <cell r="B31" t="str">
            <v>Hong Kong</v>
          </cell>
          <cell r="C31">
            <v>210.06190000000001</v>
          </cell>
          <cell r="H31">
            <v>303.13977</v>
          </cell>
        </row>
        <row r="32">
          <cell r="B32" t="str">
            <v>Croatia</v>
          </cell>
          <cell r="C32">
            <v>157.89976999999999</v>
          </cell>
          <cell r="H32">
            <v>649.23327000000006</v>
          </cell>
        </row>
        <row r="33">
          <cell r="B33" t="str">
            <v>Hungary</v>
          </cell>
          <cell r="C33">
            <v>42.029000000000003</v>
          </cell>
          <cell r="H33">
            <v>4.5359999999999996</v>
          </cell>
        </row>
        <row r="34">
          <cell r="B34" t="str">
            <v>Indonesia</v>
          </cell>
          <cell r="C34">
            <v>1098.6394600000001</v>
          </cell>
          <cell r="H34">
            <v>3527.3376400000002</v>
          </cell>
        </row>
        <row r="35">
          <cell r="B35" t="str">
            <v>Ireland</v>
          </cell>
          <cell r="H35">
            <v>10.25</v>
          </cell>
        </row>
        <row r="36">
          <cell r="B36" t="str">
            <v>Israel</v>
          </cell>
          <cell r="C36">
            <v>80.607120000000009</v>
          </cell>
          <cell r="H36">
            <v>77.324590000000001</v>
          </cell>
        </row>
        <row r="37">
          <cell r="B37" t="str">
            <v>India</v>
          </cell>
          <cell r="C37">
            <v>2398.37635</v>
          </cell>
          <cell r="H37">
            <v>8239.4035800000001</v>
          </cell>
        </row>
        <row r="38">
          <cell r="B38" t="str">
            <v>Iceland</v>
          </cell>
          <cell r="C38">
            <v>2630.5920000000001</v>
          </cell>
          <cell r="H38">
            <v>4075.4781400000002</v>
          </cell>
        </row>
        <row r="39">
          <cell r="B39" t="str">
            <v>Italy</v>
          </cell>
          <cell r="C39">
            <v>1001.06268</v>
          </cell>
          <cell r="H39">
            <v>5730.3993700000001</v>
          </cell>
        </row>
        <row r="40">
          <cell r="B40" t="str">
            <v>Jordan</v>
          </cell>
          <cell r="C40">
            <v>21.817</v>
          </cell>
          <cell r="H40">
            <v>164.56656000000001</v>
          </cell>
        </row>
        <row r="41">
          <cell r="B41" t="str">
            <v>Japan</v>
          </cell>
          <cell r="C41">
            <v>236.77676</v>
          </cell>
          <cell r="H41">
            <v>865.19711999999993</v>
          </cell>
        </row>
        <row r="42">
          <cell r="B42" t="str">
            <v>Kenya</v>
          </cell>
          <cell r="H42">
            <v>21.330190000000002</v>
          </cell>
        </row>
        <row r="43">
          <cell r="B43" t="str">
            <v>South Korea</v>
          </cell>
          <cell r="C43">
            <v>1133.19471</v>
          </cell>
          <cell r="H43">
            <v>3379.1637099999998</v>
          </cell>
        </row>
        <row r="44">
          <cell r="B44" t="str">
            <v>Kazakhstan</v>
          </cell>
          <cell r="H44">
            <v>761.56940999999995</v>
          </cell>
        </row>
        <row r="45">
          <cell r="B45" t="str">
            <v>Lebanon</v>
          </cell>
          <cell r="C45">
            <v>0.86660000000000004</v>
          </cell>
          <cell r="H45">
            <v>0.88922999999999996</v>
          </cell>
        </row>
        <row r="46">
          <cell r="B46" t="str">
            <v>Sri Lanka</v>
          </cell>
          <cell r="H46">
            <v>5.4972000000000003</v>
          </cell>
        </row>
        <row r="47">
          <cell r="B47" t="str">
            <v>Lithuania</v>
          </cell>
          <cell r="H47">
            <v>1.12636</v>
          </cell>
        </row>
        <row r="48">
          <cell r="B48" t="str">
            <v>Luxembourg</v>
          </cell>
          <cell r="C48">
            <v>458.51799999999997</v>
          </cell>
          <cell r="H48">
            <v>93.231999999999999</v>
          </cell>
        </row>
        <row r="49">
          <cell r="B49" t="str">
            <v>Macau</v>
          </cell>
          <cell r="C49">
            <v>3.24</v>
          </cell>
        </row>
        <row r="50">
          <cell r="B50" t="str">
            <v>Mexico</v>
          </cell>
          <cell r="C50">
            <v>121.29721000000001</v>
          </cell>
          <cell r="H50">
            <v>3463.6620800000001</v>
          </cell>
        </row>
        <row r="51">
          <cell r="B51" t="str">
            <v>Malaysia</v>
          </cell>
          <cell r="C51">
            <v>3208.96054</v>
          </cell>
          <cell r="H51">
            <v>10002.72155</v>
          </cell>
        </row>
        <row r="52">
          <cell r="B52" t="str">
            <v>Netherlands</v>
          </cell>
          <cell r="C52">
            <v>892.03651000000002</v>
          </cell>
          <cell r="H52">
            <v>1966.3293100000001</v>
          </cell>
        </row>
        <row r="53">
          <cell r="B53" t="str">
            <v>Norway</v>
          </cell>
          <cell r="C53">
            <v>18.15503</v>
          </cell>
          <cell r="H53">
            <v>74.533180000000002</v>
          </cell>
        </row>
        <row r="54">
          <cell r="B54" t="str">
            <v>Niue</v>
          </cell>
          <cell r="H54">
            <v>2.3176299999999999</v>
          </cell>
        </row>
        <row r="55">
          <cell r="B55" t="str">
            <v>New Zealand</v>
          </cell>
          <cell r="C55">
            <v>19.643619999999999</v>
          </cell>
          <cell r="H55">
            <v>102.06871</v>
          </cell>
        </row>
        <row r="56">
          <cell r="B56" t="str">
            <v>Oman</v>
          </cell>
          <cell r="C56">
            <v>367.48041999999998</v>
          </cell>
          <cell r="H56">
            <v>211.04155</v>
          </cell>
        </row>
        <row r="57">
          <cell r="B57" t="str">
            <v>Peru</v>
          </cell>
          <cell r="H57">
            <v>7.4950000000000001</v>
          </cell>
        </row>
        <row r="58">
          <cell r="B58" t="str">
            <v>Philippines</v>
          </cell>
          <cell r="C58">
            <v>117.565</v>
          </cell>
          <cell r="H58">
            <v>54.753459999999997</v>
          </cell>
        </row>
        <row r="59">
          <cell r="B59" t="str">
            <v>Poland</v>
          </cell>
          <cell r="C59">
            <v>1398.56873</v>
          </cell>
          <cell r="H59">
            <v>552.90202999999997</v>
          </cell>
        </row>
        <row r="60">
          <cell r="B60" t="str">
            <v>Portugal</v>
          </cell>
          <cell r="C60">
            <v>10.300599999999999</v>
          </cell>
          <cell r="H60">
            <v>72.886709999999994</v>
          </cell>
        </row>
        <row r="61">
          <cell r="B61" t="str">
            <v>Qatar</v>
          </cell>
          <cell r="C61">
            <v>1939.9127900000001</v>
          </cell>
          <cell r="H61">
            <v>12265.01737</v>
          </cell>
        </row>
        <row r="62">
          <cell r="B62" t="str">
            <v>Romania</v>
          </cell>
          <cell r="C62">
            <v>297.43650000000002</v>
          </cell>
          <cell r="H62">
            <v>26.30856</v>
          </cell>
        </row>
        <row r="63">
          <cell r="B63" t="str">
            <v>Serbia</v>
          </cell>
          <cell r="H63">
            <v>45.186</v>
          </cell>
        </row>
        <row r="64">
          <cell r="B64" t="str">
            <v>Russia</v>
          </cell>
          <cell r="C64">
            <v>792.6386</v>
          </cell>
          <cell r="H64">
            <v>6.68</v>
          </cell>
        </row>
        <row r="65">
          <cell r="B65" t="str">
            <v>Saudi Arabia</v>
          </cell>
          <cell r="C65">
            <v>8854.9955300000001</v>
          </cell>
          <cell r="H65">
            <v>3161.02738</v>
          </cell>
        </row>
        <row r="66">
          <cell r="B66" t="str">
            <v>Sweden</v>
          </cell>
          <cell r="C66">
            <v>18.692430000000002</v>
          </cell>
          <cell r="H66">
            <v>181.85470000000001</v>
          </cell>
        </row>
        <row r="67">
          <cell r="B67" t="str">
            <v>Singapore</v>
          </cell>
          <cell r="C67">
            <v>28.106999999999999</v>
          </cell>
          <cell r="H67">
            <v>99.171859999999995</v>
          </cell>
        </row>
        <row r="68">
          <cell r="B68" t="str">
            <v>Slovenia</v>
          </cell>
          <cell r="C68">
            <v>106.91233</v>
          </cell>
          <cell r="H68">
            <v>1431.84707</v>
          </cell>
        </row>
        <row r="69">
          <cell r="B69" t="str">
            <v>Slovakia</v>
          </cell>
          <cell r="C69">
            <v>13.05954</v>
          </cell>
          <cell r="H69">
            <v>25.535530000000001</v>
          </cell>
        </row>
        <row r="70">
          <cell r="B70" t="str">
            <v>El Salvador</v>
          </cell>
          <cell r="C70">
            <v>2.6233300000000002</v>
          </cell>
          <cell r="H70">
            <v>94.863630000000001</v>
          </cell>
        </row>
        <row r="71">
          <cell r="B71" t="str">
            <v>Thailand</v>
          </cell>
          <cell r="C71">
            <v>1095.0960399999999</v>
          </cell>
          <cell r="H71">
            <v>2086.6016399999999</v>
          </cell>
        </row>
        <row r="72">
          <cell r="B72" t="str">
            <v>Tokelau</v>
          </cell>
          <cell r="H72">
            <v>19.422000000000001</v>
          </cell>
        </row>
        <row r="73">
          <cell r="B73" t="str">
            <v>Turkey</v>
          </cell>
          <cell r="C73">
            <v>4831.5057200000001</v>
          </cell>
          <cell r="H73">
            <v>14755.206319999999</v>
          </cell>
        </row>
        <row r="74">
          <cell r="B74" t="str">
            <v>Taiwan</v>
          </cell>
          <cell r="C74">
            <v>762.79637000000002</v>
          </cell>
          <cell r="H74">
            <v>3125.8324200000002</v>
          </cell>
        </row>
        <row r="75">
          <cell r="B75" t="str">
            <v>Ukraine</v>
          </cell>
          <cell r="C75">
            <v>0.97385999999999995</v>
          </cell>
        </row>
        <row r="76">
          <cell r="B76" t="str">
            <v>United States</v>
          </cell>
          <cell r="C76">
            <v>132484.91026999999</v>
          </cell>
          <cell r="H76">
            <v>417164.91106999991</v>
          </cell>
        </row>
        <row r="77">
          <cell r="B77" t="str">
            <v>Uzbekistan</v>
          </cell>
          <cell r="C77">
            <v>74.734920000000002</v>
          </cell>
          <cell r="H77">
            <v>124.92944</v>
          </cell>
        </row>
        <row r="78">
          <cell r="B78" t="str">
            <v>Vietnam</v>
          </cell>
          <cell r="C78">
            <v>2428.8871100000001</v>
          </cell>
          <cell r="H78">
            <v>13905.90921</v>
          </cell>
        </row>
        <row r="79">
          <cell r="B79" t="str">
            <v>South Africa</v>
          </cell>
          <cell r="C79">
            <v>81.964650000000006</v>
          </cell>
          <cell r="H79">
            <v>200.79589999999999</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aluminium.ca/en/the-industry/" TargetMode="External" Id="rId1"/><Relationship Type="http://schemas.openxmlformats.org/officeDocument/2006/relationships/hyperlink" Target="https://www.riotinto.com/-/media/Content/Documents/Products/Aluminium/RT-Aluminium-Delivering-responsible-future.pdf"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115"/>
  <sheetViews>
    <sheetView tabSelected="1" workbookViewId="0">
      <selection activeCell="B24" sqref="B24"/>
    </sheetView>
  </sheetViews>
  <sheetFormatPr baseColWidth="8" defaultColWidth="8.81640625" defaultRowHeight="14.5"/>
  <cols>
    <col width="35.453125" customWidth="1" min="1" max="1"/>
    <col width="45.36328125" customWidth="1" min="2" max="2"/>
    <col width="30.6328125" customWidth="1" min="3" max="3"/>
    <col width="16.1796875" customWidth="1" min="4" max="4"/>
    <col width="28.453125" customWidth="1" min="5" max="5"/>
    <col width="13.1796875" bestFit="1" customWidth="1" min="6" max="8"/>
    <col width="15.453125" bestFit="1" customWidth="1" min="9" max="9"/>
    <col width="8.453125" customWidth="1" min="10" max="10"/>
    <col width="21.453125" customWidth="1" min="11" max="11"/>
    <col width="10.453125" customWidth="1" min="12" max="12"/>
    <col width="14.36328125" customWidth="1" min="13" max="13"/>
    <col width="16.6328125" customWidth="1" style="63" min="14" max="14"/>
    <col width="11.81640625" customWidth="1" min="15" max="15"/>
    <col width="17.81640625" customWidth="1" min="16" max="16"/>
    <col width="11.81640625" customWidth="1" min="17" max="17"/>
    <col width="12.1796875" customWidth="1" min="18" max="18"/>
    <col width="17.81640625" customWidth="1" min="19" max="19"/>
    <col width="12.453125" customWidth="1" min="20" max="20"/>
    <col width="20.453125" customWidth="1" min="21" max="21"/>
  </cols>
  <sheetData>
    <row r="1" customFormat="1" s="53">
      <c r="A1" s="49" t="inlineStr">
        <is>
          <t>Input data - Aluminum Smelting</t>
        </is>
      </c>
      <c r="B1" s="50" t="n"/>
      <c r="C1" s="50" t="n"/>
      <c r="D1" s="50" t="n"/>
      <c r="E1" s="50" t="n"/>
      <c r="F1" s="50" t="n"/>
      <c r="G1" s="50" t="n"/>
      <c r="H1" s="50" t="n"/>
      <c r="I1" s="50" t="n"/>
      <c r="J1" s="51" t="n"/>
      <c r="K1" s="49" t="inlineStr">
        <is>
          <t>Intermediate calculations</t>
        </is>
      </c>
      <c r="L1" s="50" t="n"/>
      <c r="M1" s="50" t="n"/>
      <c r="N1" s="103" t="n"/>
      <c r="O1" s="49" t="inlineStr">
        <is>
          <t>Overall net trend is positive</t>
        </is>
      </c>
      <c r="P1" s="50" t="n"/>
      <c r="Q1" s="51" t="n"/>
      <c r="R1" s="49" t="inlineStr">
        <is>
          <t>Overall net trend is negative</t>
        </is>
      </c>
      <c r="S1" s="50" t="n"/>
      <c r="T1" s="51" t="n"/>
      <c r="U1" s="52" t="inlineStr">
        <is>
          <t>Average for comparison</t>
        </is>
      </c>
    </row>
    <row r="2" customFormat="1" s="53">
      <c r="A2" s="104" t="inlineStr">
        <is>
          <t>Supplier</t>
        </is>
      </c>
      <c r="B2" s="105" t="inlineStr">
        <is>
          <t>Technology</t>
        </is>
      </c>
      <c r="C2" s="105" t="inlineStr">
        <is>
          <t>Products</t>
        </is>
      </c>
      <c r="D2" s="105" t="inlineStr">
        <is>
          <t>Location</t>
        </is>
      </c>
      <c r="E2" s="106" t="inlineStr">
        <is>
          <t>Kiltonnes 2018</t>
        </is>
      </c>
      <c r="F2" s="106" t="inlineStr">
        <is>
          <t>Kiltonnes 2020</t>
        </is>
      </c>
      <c r="G2" s="106" t="inlineStr">
        <is>
          <t>Kiltonnes 2021</t>
        </is>
      </c>
      <c r="H2" s="106" t="inlineStr">
        <is>
          <t>Kiltonnes 2022</t>
        </is>
      </c>
      <c r="I2" s="106" t="inlineStr">
        <is>
          <t>Kilotonnes 2023</t>
        </is>
      </c>
      <c r="J2" s="107" t="inlineStr">
        <is>
          <t>Lifetime</t>
        </is>
      </c>
      <c r="K2" s="108" t="inlineStr">
        <is>
          <t>Annual change in supply</t>
        </is>
      </c>
      <c r="L2" s="106" t="inlineStr">
        <is>
          <t>Cap replace</t>
        </is>
      </c>
      <c r="M2" s="106" t="inlineStr">
        <is>
          <t>Net annual trend</t>
        </is>
      </c>
      <c r="N2" s="109" t="inlineStr">
        <is>
          <t>Net annual change</t>
        </is>
      </c>
      <c r="O2" s="108" t="inlineStr">
        <is>
          <t>Classification</t>
        </is>
      </c>
      <c r="P2" s="106" t="inlineStr">
        <is>
          <t>TJ Net annual change</t>
        </is>
      </c>
      <c r="Q2" s="110" t="inlineStr">
        <is>
          <t>Marginal mix</t>
        </is>
      </c>
      <c r="R2" s="108" t="inlineStr">
        <is>
          <t>Classification</t>
        </is>
      </c>
      <c r="S2" s="106" t="inlineStr">
        <is>
          <t>TJ Net annual change</t>
        </is>
      </c>
      <c r="T2" s="110" t="inlineStr">
        <is>
          <t>Marginal mix</t>
        </is>
      </c>
      <c r="U2" s="111" t="inlineStr">
        <is>
          <t>Aver mix 2024</t>
        </is>
      </c>
    </row>
    <row r="3" customFormat="1" s="53">
      <c r="A3" s="54" t="inlineStr">
        <is>
          <t>Rio Tinto - Alma Smelter</t>
        </is>
      </c>
      <c r="B3" s="79" t="inlineStr">
        <is>
          <t>ELYSIS &amp; inert anode tech (piloting), AP44 technology</t>
        </is>
      </c>
      <c r="C3" s="79" t="inlineStr">
        <is>
          <t>foundry alloys, rods, sows and remelt T ingots</t>
        </is>
      </c>
      <c r="D3" s="79" t="inlineStr">
        <is>
          <t>Quebec</t>
        </is>
      </c>
      <c r="E3" s="112">
        <f>465000/1000</f>
        <v/>
      </c>
      <c r="F3" s="80" t="n">
        <v>473</v>
      </c>
      <c r="G3" s="80" t="n">
        <v>471</v>
      </c>
      <c r="H3" s="80" t="n">
        <v>482</v>
      </c>
      <c r="I3" s="81" t="n">
        <v>484</v>
      </c>
      <c r="J3" s="55" t="n">
        <v>60</v>
      </c>
      <c r="K3" s="113">
        <f>((I3-E3)/5)/E3</f>
        <v/>
      </c>
      <c r="L3" s="114">
        <f>-1/J3</f>
        <v/>
      </c>
      <c r="M3" s="114">
        <f>K3+L3</f>
        <v/>
      </c>
      <c r="N3" s="115">
        <f>E3*M3</f>
        <v/>
      </c>
      <c r="O3" s="56">
        <f>IF(M3&gt;0,"modern","old")</f>
        <v/>
      </c>
      <c r="P3" s="116">
        <f>IF(($N$14)&gt;0,       IF(M3&gt;0,E3*M3,0),0 )</f>
        <v/>
      </c>
      <c r="Q3" s="57">
        <f>IFERROR(P3/(SUM($P$3:$P$13, $P$16:$P$93)),"n.a.")</f>
        <v/>
      </c>
      <c r="R3" s="56">
        <f>IF(M3&gt;0,"modern","old")</f>
        <v/>
      </c>
      <c r="S3" s="117">
        <f>IF(($N$14+$N$94)&lt;0,       IF(M3&lt;0,E3*M3,0),0 )</f>
        <v/>
      </c>
      <c r="T3" s="118">
        <f>IFERROR(S3/(SUM($S$3:$S$13)),"n.a.")</f>
        <v/>
      </c>
      <c r="U3" s="58">
        <f>I3/($I$14+$I$94)</f>
        <v/>
      </c>
    </row>
    <row r="4" customFormat="1" s="53">
      <c r="A4" s="54" t="inlineStr">
        <is>
          <t>Aluminerie Alouette - Alouette Smelter</t>
        </is>
      </c>
      <c r="B4" s="79" t="inlineStr">
        <is>
          <t>Prebake technology</t>
        </is>
      </c>
      <c r="C4" s="79" t="inlineStr">
        <is>
          <t>ingots</t>
        </is>
      </c>
      <c r="D4" s="79" t="inlineStr">
        <is>
          <t>Quebec</t>
        </is>
      </c>
      <c r="E4" s="119" t="n">
        <v>584</v>
      </c>
      <c r="F4" s="81" t="n">
        <v>623</v>
      </c>
      <c r="G4" s="81" t="n">
        <v>629</v>
      </c>
      <c r="H4" s="81" t="n">
        <v>628</v>
      </c>
      <c r="I4" s="81" t="n">
        <v>634</v>
      </c>
      <c r="J4" s="55" t="n">
        <v>50</v>
      </c>
      <c r="K4" s="113">
        <f>((I4-E4)/5)/E4</f>
        <v/>
      </c>
      <c r="L4" s="114">
        <f>-1/J4</f>
        <v/>
      </c>
      <c r="M4" s="114">
        <f>K4+L4</f>
        <v/>
      </c>
      <c r="N4" s="115">
        <f>E4*M4</f>
        <v/>
      </c>
      <c r="O4" s="56">
        <f>IF(M4&gt;0,"modern","old")</f>
        <v/>
      </c>
      <c r="P4" s="116">
        <f>IF(($N$14)&gt;0,       IF(M4&gt;0,E4*M4,0),0 )</f>
        <v/>
      </c>
      <c r="Q4" s="57">
        <f>IFERROR(P4/(SUM($P$3:$P$13, $P$16:$P$93)),"n.a.")</f>
        <v/>
      </c>
      <c r="R4" s="56">
        <f>IF(M4&gt;0,"modern","old")</f>
        <v/>
      </c>
      <c r="S4" s="117">
        <f>IF(($N$14+$N$94)&lt;0,       IF(M4&lt;0,E4*M4,0),0 )</f>
        <v/>
      </c>
      <c r="T4" s="118">
        <f>IFERROR(S4/(SUM($S$3:$S$11)),"n.a.")</f>
        <v/>
      </c>
      <c r="U4" s="58">
        <f>I4/($I$14+$I$94)</f>
        <v/>
      </c>
    </row>
    <row r="5" customFormat="1" s="53">
      <c r="A5" s="54" t="inlineStr">
        <is>
          <t>Alcoa - Baie-Comeau Smelter</t>
        </is>
      </c>
      <c r="B5" s="79" t="inlineStr">
        <is>
          <t>Prebake technology</t>
        </is>
      </c>
      <c r="C5" s="79" t="inlineStr">
        <is>
          <t>rolling plates</t>
        </is>
      </c>
      <c r="D5" s="79" t="inlineStr">
        <is>
          <t>Quebec</t>
        </is>
      </c>
      <c r="E5" s="119">
        <f>280000/1000</f>
        <v/>
      </c>
      <c r="F5" s="81" t="inlineStr">
        <is>
          <t>-</t>
        </is>
      </c>
      <c r="G5" s="81" t="inlineStr">
        <is>
          <t>-</t>
        </is>
      </c>
      <c r="H5" s="81" t="inlineStr">
        <is>
          <t>-</t>
        </is>
      </c>
      <c r="I5" s="81">
        <f>324000/1000</f>
        <v/>
      </c>
      <c r="J5" s="55" t="n">
        <v>50</v>
      </c>
      <c r="K5" s="113">
        <f>((I5-E5)/5)/E5</f>
        <v/>
      </c>
      <c r="L5" s="114">
        <f>-1/J5</f>
        <v/>
      </c>
      <c r="M5" s="114">
        <f>K5+L5</f>
        <v/>
      </c>
      <c r="N5" s="115">
        <f>E5*M5</f>
        <v/>
      </c>
      <c r="O5" s="56">
        <f>IF(M5&gt;0,"modern","old")</f>
        <v/>
      </c>
      <c r="P5" s="116">
        <f>IF(($N$14)&gt;0, IF(M5&gt;0,E5*M5,0),0 )</f>
        <v/>
      </c>
      <c r="Q5" s="57">
        <f>IFERROR(P5/(SUM($P$3:$P$13, $P$16:$P$93)),"n.a.")</f>
        <v/>
      </c>
      <c r="R5" s="56">
        <f>IF(M5&gt;0,"modern","old")</f>
        <v/>
      </c>
      <c r="S5" s="117">
        <f>IF(($N$14+$N$94)&lt;0,       IF(M5&lt;0,E5*M5,0),0 )</f>
        <v/>
      </c>
      <c r="T5" s="118">
        <f>IFERROR(S5/(SUM($S$3:$S$11)),"n.a.")</f>
        <v/>
      </c>
      <c r="U5" s="58">
        <f>I5/($I$14+$I$94)</f>
        <v/>
      </c>
    </row>
    <row r="6" customFormat="1" s="53">
      <c r="A6" s="54" t="inlineStr">
        <is>
          <t>Alcoa - Deschambault Smelter</t>
        </is>
      </c>
      <c r="B6" s="79" t="inlineStr">
        <is>
          <t>Prebake technology</t>
        </is>
      </c>
      <c r="C6" s="79" t="inlineStr">
        <is>
          <t>t-shaped ingots</t>
        </is>
      </c>
      <c r="D6" s="79" t="inlineStr">
        <is>
          <t>Quebec</t>
        </is>
      </c>
      <c r="E6" s="119">
        <f>260000/1000</f>
        <v/>
      </c>
      <c r="F6" s="81" t="inlineStr">
        <is>
          <t>-</t>
        </is>
      </c>
      <c r="G6" s="81" t="inlineStr">
        <is>
          <t>-</t>
        </is>
      </c>
      <c r="H6" s="81" t="inlineStr">
        <is>
          <t>-</t>
        </is>
      </c>
      <c r="I6" s="81">
        <f>287000/1000</f>
        <v/>
      </c>
      <c r="J6" s="55" t="n">
        <v>50</v>
      </c>
      <c r="K6" s="113">
        <f>((I6-E6)/5)/E6</f>
        <v/>
      </c>
      <c r="L6" s="114">
        <f>-1/J6</f>
        <v/>
      </c>
      <c r="M6" s="114">
        <f>K6+L6</f>
        <v/>
      </c>
      <c r="N6" s="115">
        <f>E6*M6</f>
        <v/>
      </c>
      <c r="O6" s="56">
        <f>IF(M6&gt;0,"modern","old")</f>
        <v/>
      </c>
      <c r="P6" s="116">
        <f>IF(($N$14)&gt;0, IF(M6&gt;0,E6*M6,0),0 )</f>
        <v/>
      </c>
      <c r="Q6" s="57">
        <f>IFERROR(P6/(SUM($P$3:$P$13, $P$16:$P$93)),"n.a.")</f>
        <v/>
      </c>
      <c r="R6" s="56">
        <f>IF(M6&gt;0,"modern","old")</f>
        <v/>
      </c>
      <c r="S6" s="117">
        <f>IF(($N$14+$N$94)&lt;0, IF(M6&lt;0,E6*M6,0),0 )</f>
        <v/>
      </c>
      <c r="T6" s="118">
        <f>IFERROR(S6/(SUM($S$3:$S$11)),"n.a.")</f>
        <v/>
      </c>
      <c r="U6" s="58">
        <f>I6/($I$14+$I$94)</f>
        <v/>
      </c>
    </row>
    <row r="7" customFormat="1" s="53">
      <c r="A7" s="54" t="inlineStr">
        <is>
          <t>Rio Tinto - Aluminerie Arvida</t>
        </is>
      </c>
      <c r="B7" s="79" t="inlineStr">
        <is>
          <t>Arvida</t>
        </is>
      </c>
      <c r="C7" s="79" t="inlineStr">
        <is>
          <t>billets and ingots in T remelt</t>
        </is>
      </c>
      <c r="D7" s="79" t="inlineStr">
        <is>
          <t>Quebec</t>
        </is>
      </c>
      <c r="E7" s="119" t="n">
        <v>173</v>
      </c>
      <c r="F7" s="81" t="n">
        <v>169</v>
      </c>
      <c r="G7" s="81" t="n">
        <v>168</v>
      </c>
      <c r="H7" s="81" t="n">
        <v>171</v>
      </c>
      <c r="I7" s="81" t="n">
        <v>172</v>
      </c>
      <c r="J7" s="55" t="n">
        <v>60</v>
      </c>
      <c r="K7" s="113">
        <f>((I7-E7)/5)/E7</f>
        <v/>
      </c>
      <c r="L7" s="114">
        <f>-1/J7</f>
        <v/>
      </c>
      <c r="M7" s="114">
        <f>K7+L7</f>
        <v/>
      </c>
      <c r="N7" s="115">
        <f>E7*M7</f>
        <v/>
      </c>
      <c r="O7" s="56">
        <f>IF(M7&gt;0,"modern","old")</f>
        <v/>
      </c>
      <c r="P7" s="116">
        <f>IF(($N$14)&gt;0, IF(M7&gt;0,E7*M7,0),0 )</f>
        <v/>
      </c>
      <c r="Q7" s="57">
        <f>IFERROR(P7/(SUM($P$3:$P$13, $P$16:$P$93)),"n.a.")</f>
        <v/>
      </c>
      <c r="R7" s="56">
        <f>IF(M7&gt;0,"modern","old")</f>
        <v/>
      </c>
      <c r="S7" s="117">
        <f>IF(($N$14+$N$94)&lt;0, IF(M7&lt;0,E7*M7,0),0 )</f>
        <v/>
      </c>
      <c r="T7" s="118">
        <f>IFERROR(S7/(SUM($S$3:$S$11)),"n.a.")</f>
        <v/>
      </c>
      <c r="U7" s="58">
        <f>I7/($I$14+$I$94)</f>
        <v/>
      </c>
    </row>
    <row r="8" customFormat="1" s="53">
      <c r="A8" s="54" t="inlineStr">
        <is>
          <t>Rio Tinto - Aluminerie Arvida AP60</t>
        </is>
      </c>
      <c r="B8" s="79" t="inlineStr">
        <is>
          <t>AP60</t>
        </is>
      </c>
      <c r="C8" s="79" t="inlineStr">
        <is>
          <t>billets and ingots in T remelt</t>
        </is>
      </c>
      <c r="D8" s="79" t="inlineStr">
        <is>
          <t>Quebec</t>
        </is>
      </c>
      <c r="E8" s="119" t="n">
        <v>52</v>
      </c>
      <c r="F8" s="81" t="n">
        <v>60</v>
      </c>
      <c r="G8" s="81" t="n">
        <v>60</v>
      </c>
      <c r="H8" s="81" t="n">
        <v>58</v>
      </c>
      <c r="I8" s="81" t="n">
        <v>59</v>
      </c>
      <c r="J8" s="55" t="n">
        <v>60</v>
      </c>
      <c r="K8" s="113">
        <f>((I8-E8)/5)/E8</f>
        <v/>
      </c>
      <c r="L8" s="114">
        <f>-1/J8</f>
        <v/>
      </c>
      <c r="M8" s="114">
        <f>K8+L8</f>
        <v/>
      </c>
      <c r="N8" s="115">
        <f>E8*M8</f>
        <v/>
      </c>
      <c r="O8" s="56">
        <f>IF(M8&gt;0,"modern","old")</f>
        <v/>
      </c>
      <c r="P8" s="116">
        <f>IF(($N$14)&gt;0, IF(M8&gt;0,E8*M8,0),0 )</f>
        <v/>
      </c>
      <c r="Q8" s="57">
        <f>IFERROR(P8/(SUM($P$3:$P$13, $P$16:$P$93)),"n.a.")</f>
        <v/>
      </c>
      <c r="R8" s="56" t="n"/>
      <c r="S8" s="117" t="n"/>
      <c r="T8" s="118" t="n"/>
      <c r="U8" s="58" t="n"/>
    </row>
    <row r="9" customFormat="1" s="53">
      <c r="A9" s="54" t="inlineStr">
        <is>
          <t>Rio Tinto - Grande Baie Smelter</t>
        </is>
      </c>
      <c r="B9" s="79" t="inlineStr">
        <is>
          <t>Prebake technology</t>
        </is>
      </c>
      <c r="C9" s="79" t="inlineStr">
        <is>
          <t>plates (rolling ingots) remelting ingots</t>
        </is>
      </c>
      <c r="D9" s="79" t="inlineStr">
        <is>
          <t>Quebec</t>
        </is>
      </c>
      <c r="E9" s="119" t="n">
        <v>233</v>
      </c>
      <c r="F9" s="81" t="n">
        <v>225</v>
      </c>
      <c r="G9" s="81" t="n">
        <v>230</v>
      </c>
      <c r="H9" s="81" t="n">
        <v>232</v>
      </c>
      <c r="I9" s="81" t="n">
        <v>229</v>
      </c>
      <c r="J9" s="55" t="n">
        <v>50</v>
      </c>
      <c r="K9" s="113">
        <f>((I9-E9)/5)/E9</f>
        <v/>
      </c>
      <c r="L9" s="114">
        <f>-1/J9</f>
        <v/>
      </c>
      <c r="M9" s="114">
        <f>K9+L9</f>
        <v/>
      </c>
      <c r="N9" s="115">
        <f>E9*M9</f>
        <v/>
      </c>
      <c r="O9" s="56">
        <f>IF(M9&gt;0,"modern","old")</f>
        <v/>
      </c>
      <c r="P9" s="116">
        <f>IF(($N$14)&gt;0, IF(M9&gt;0,E9*M9,0),0 )</f>
        <v/>
      </c>
      <c r="Q9" s="57">
        <f>IFERROR(P9/(SUM($P$3:$P$13, $P$16:$P$93)),"n.a.")</f>
        <v/>
      </c>
      <c r="R9" s="56">
        <f>IF(M9&gt;0,"modern","old")</f>
        <v/>
      </c>
      <c r="S9" s="117">
        <f>IF(($N$14+$N$94)&lt;0, IF(M9&lt;0,E9*M9,0),0 )</f>
        <v/>
      </c>
      <c r="T9" s="118">
        <f>IFERROR(S9/(SUM($S$3:$S$11)),"n.a.")</f>
        <v/>
      </c>
      <c r="U9" s="58">
        <f>I9/($I$14+$I$94)</f>
        <v/>
      </c>
    </row>
    <row r="10" customFormat="1" s="53">
      <c r="A10" s="54" t="inlineStr">
        <is>
          <t>Rio Tinto - Laterriere Smelter</t>
        </is>
      </c>
      <c r="B10" s="79" t="inlineStr">
        <is>
          <t>Prebake technology</t>
        </is>
      </c>
      <c r="C10" s="79" t="inlineStr">
        <is>
          <t>plates (rolling ingots)</t>
        </is>
      </c>
      <c r="D10" s="79" t="inlineStr">
        <is>
          <t>Quebec</t>
        </is>
      </c>
      <c r="E10" s="119" t="n">
        <v>257</v>
      </c>
      <c r="F10" s="81" t="n">
        <v>250</v>
      </c>
      <c r="G10" s="81" t="n">
        <v>252</v>
      </c>
      <c r="H10" s="81" t="n">
        <v>253</v>
      </c>
      <c r="I10" s="81" t="n">
        <v>244</v>
      </c>
      <c r="J10" s="55" t="n">
        <v>50</v>
      </c>
      <c r="K10" s="113">
        <f>((I10-E10)/5)/E10</f>
        <v/>
      </c>
      <c r="L10" s="114">
        <f>-1/J10</f>
        <v/>
      </c>
      <c r="M10" s="114">
        <f>K10+L10</f>
        <v/>
      </c>
      <c r="N10" s="115">
        <f>E10*M10</f>
        <v/>
      </c>
      <c r="O10" s="56">
        <f>IF(M10&gt;0,"modern","old")</f>
        <v/>
      </c>
      <c r="P10" s="116">
        <f>IF(($N$14)&gt;0, IF(M10&gt;0,E10*M10,0),0 )</f>
        <v/>
      </c>
      <c r="Q10" s="57">
        <f>IFERROR(P10/(SUM($P$3:$P$13, $P$16:$P$93)),"n.a.")</f>
        <v/>
      </c>
      <c r="R10" s="56">
        <f>IF(M10&gt;0,"modern","old")</f>
        <v/>
      </c>
      <c r="S10" s="117">
        <f>IF(($N$14+$N$94)&lt;0, IF(M10&lt;0,E10*M10,0),0 )</f>
        <v/>
      </c>
      <c r="T10" s="118">
        <f>IFERROR(S10/(SUM($S$3:$S$11)),"n.a.")</f>
        <v/>
      </c>
      <c r="U10" s="58">
        <f>I10/($I$14+$I$94)</f>
        <v/>
      </c>
    </row>
    <row r="11" customFormat="1" s="53">
      <c r="A11" s="54" t="inlineStr">
        <is>
          <t>Alcoa - Becancour Smelter</t>
        </is>
      </c>
      <c r="B11" s="79" t="inlineStr">
        <is>
          <t>Prebake technology</t>
        </is>
      </c>
      <c r="C11" s="79" t="inlineStr">
        <is>
          <t>T-ingots, plates, billets</t>
        </is>
      </c>
      <c r="D11" s="79" t="inlineStr">
        <is>
          <t>Quebec</t>
        </is>
      </c>
      <c r="E11" s="119" t="n">
        <v>438</v>
      </c>
      <c r="F11" s="81" t="n">
        <v>393</v>
      </c>
      <c r="G11" s="81" t="n">
        <v>463</v>
      </c>
      <c r="H11" s="81" t="n">
        <v>459</v>
      </c>
      <c r="I11" s="81" t="n">
        <v>465</v>
      </c>
      <c r="J11" s="55" t="n">
        <v>50</v>
      </c>
      <c r="K11" s="113">
        <f>((I11-E11)/5)/E11</f>
        <v/>
      </c>
      <c r="L11" s="114">
        <f>-1/J11</f>
        <v/>
      </c>
      <c r="M11" s="114">
        <f>K11+L11</f>
        <v/>
      </c>
      <c r="N11" s="115">
        <f>E11*M11</f>
        <v/>
      </c>
      <c r="O11" s="56">
        <f>IF(M11&gt;0,"modern","old")</f>
        <v/>
      </c>
      <c r="P11" s="116">
        <f>IF(($N$14)&gt;0, IF(M11&gt;0,E11*M11,0),0 )</f>
        <v/>
      </c>
      <c r="Q11" s="57">
        <f>IFERROR(P11/(SUM($P$3:$P$13, $P$16:$P$93)),"n.a.")</f>
        <v/>
      </c>
      <c r="R11" s="56">
        <f>IF(M11&gt;0,"modern","old")</f>
        <v/>
      </c>
      <c r="S11" s="117">
        <f>IF(($N$14+$N$94)&lt;0, IF(M11&lt;0,E11*M11,0),0 )</f>
        <v/>
      </c>
      <c r="T11" s="118">
        <f>IFERROR(S11/(SUM($S$3:$S$11)),"n.a.")</f>
        <v/>
      </c>
      <c r="U11" s="58">
        <f>I11/($I$14+$I$94)</f>
        <v/>
      </c>
    </row>
    <row r="12" customFormat="1" s="53">
      <c r="A12" s="54" t="inlineStr">
        <is>
          <t>Rio Tinto - Kitimat Smelter</t>
        </is>
      </c>
      <c r="B12" s="79" t="inlineStr">
        <is>
          <t>AP40</t>
        </is>
      </c>
      <c r="C12" s="79" t="inlineStr">
        <is>
          <t>plates (rolling ingots), foundry ingots, remelting ingots and sows</t>
        </is>
      </c>
      <c r="D12" s="79" t="inlineStr">
        <is>
          <t>British Columbia</t>
        </is>
      </c>
      <c r="E12" s="119">
        <f>436000/1000</f>
        <v/>
      </c>
      <c r="F12" s="81" t="n">
        <v>329</v>
      </c>
      <c r="G12" s="81" t="n">
        <v>263</v>
      </c>
      <c r="H12" s="81" t="n">
        <v>145</v>
      </c>
      <c r="I12" s="81" t="n">
        <v>377</v>
      </c>
      <c r="J12" s="55" t="n">
        <v>60</v>
      </c>
      <c r="K12" s="113">
        <f>((I12-E12)/5)/E12</f>
        <v/>
      </c>
      <c r="L12" s="114">
        <f>-1/J12</f>
        <v/>
      </c>
      <c r="M12" s="114">
        <f>K12+L12</f>
        <v/>
      </c>
      <c r="N12" s="115">
        <f>E12*M12</f>
        <v/>
      </c>
      <c r="O12" s="56">
        <f>IF(M12&gt;0,"modern","old")</f>
        <v/>
      </c>
      <c r="P12" s="116">
        <f>IF(($N$14)&gt;0, IF(M12&gt;0,E12*M12,0),0 )</f>
        <v/>
      </c>
      <c r="Q12" s="57">
        <f>IFERROR(P12/(SUM($P$3:$P$13, $P$16:$P$93)),"n.a.")</f>
        <v/>
      </c>
      <c r="R12" s="56">
        <f>IF(M12&gt;0,"modern","old")</f>
        <v/>
      </c>
      <c r="S12" s="117">
        <f>IF(($N$14+$N$94)&lt;0, IF(M12&lt;0,E12*M12,0),0 )</f>
        <v/>
      </c>
      <c r="T12" s="118" t="n"/>
      <c r="U12" s="58">
        <f>I12/($I$14+$I$94)</f>
        <v/>
      </c>
    </row>
    <row r="13" ht="16" customFormat="1" customHeight="1" s="53">
      <c r="A13" s="120" t="inlineStr">
        <is>
          <t>Rio Tinto - Beauharnois</t>
        </is>
      </c>
      <c r="B13" s="120" t="inlineStr">
        <is>
          <t>Söderberg technology; decommissioned.</t>
        </is>
      </c>
      <c r="C13" s="79" t="inlineStr">
        <is>
          <t>N/A</t>
        </is>
      </c>
      <c r="D13" s="79" t="inlineStr">
        <is>
          <t>Quebec</t>
        </is>
      </c>
      <c r="E13" s="81" t="n">
        <v>0</v>
      </c>
      <c r="F13" s="81" t="n"/>
      <c r="G13" s="81" t="n"/>
      <c r="H13" s="81" t="n"/>
      <c r="I13" s="81" t="n">
        <v>0</v>
      </c>
      <c r="J13" s="55" t="n">
        <v>30</v>
      </c>
      <c r="K13" s="113" t="n">
        <v>0</v>
      </c>
      <c r="L13" s="114">
        <f>-1/J13</f>
        <v/>
      </c>
      <c r="M13" s="114">
        <f>K13+L13</f>
        <v/>
      </c>
      <c r="N13" s="115">
        <f>E13*M13</f>
        <v/>
      </c>
      <c r="O13" s="56">
        <f>IF(M13&gt;0,"modern","old")</f>
        <v/>
      </c>
      <c r="P13" s="116">
        <f>IF(($N$14)&gt;0, IF(M13&gt;0,E13*M13,0),0 )</f>
        <v/>
      </c>
      <c r="Q13" s="57">
        <f>IFERROR(P13/(SUM($P$3:$P$13, $P$16:$P$93)),"n.a.")</f>
        <v/>
      </c>
      <c r="R13" s="56">
        <f>IF(M13&gt;0,"modern","old")</f>
        <v/>
      </c>
      <c r="S13" s="117">
        <f>IF(($N$14+$N$94)&lt;0, IF(M13&lt;0,E13*M13,0),0 )</f>
        <v/>
      </c>
      <c r="T13" s="118" t="n"/>
      <c r="U13" s="58">
        <f>I13/($I$14+$I$94)</f>
        <v/>
      </c>
    </row>
    <row r="14" ht="15" customHeight="1" thickBot="1">
      <c r="A14" s="82" t="inlineStr">
        <is>
          <t>Total</t>
        </is>
      </c>
      <c r="B14" s="59" t="n"/>
      <c r="C14" s="59" t="n"/>
      <c r="D14" s="59" t="n"/>
      <c r="E14" s="121">
        <f>SUM(E3:E13)</f>
        <v/>
      </c>
      <c r="F14" s="121" t="n"/>
      <c r="G14" s="121" t="n"/>
      <c r="H14" s="121" t="n"/>
      <c r="I14" s="121">
        <f>SUM(I3:I13)</f>
        <v/>
      </c>
      <c r="J14" s="121" t="n"/>
      <c r="K14" s="122" t="n"/>
      <c r="L14" s="83" t="n"/>
      <c r="M14" s="83" t="n"/>
      <c r="N14" s="123">
        <f>SUM(N3:N13)+N94</f>
        <v/>
      </c>
      <c r="O14" s="88" t="n"/>
      <c r="P14" s="83" t="n"/>
      <c r="Q14" s="124">
        <f>SUM(Q3:Q13)</f>
        <v/>
      </c>
      <c r="R14" s="125" t="n"/>
      <c r="S14" s="117" t="n"/>
      <c r="T14" s="126">
        <f>SUM(T3:T11)</f>
        <v/>
      </c>
      <c r="U14" s="91">
        <f>SUM(U3:U11)</f>
        <v/>
      </c>
    </row>
    <row r="15">
      <c r="A15" s="127" t="inlineStr">
        <is>
          <t>Imports</t>
        </is>
      </c>
      <c r="B15" s="76" t="inlineStr">
        <is>
          <t>Technology</t>
        </is>
      </c>
      <c r="C15" s="60" t="inlineStr">
        <is>
          <t>Products</t>
        </is>
      </c>
      <c r="D15" s="128" t="inlineStr">
        <is>
          <t>Location</t>
        </is>
      </c>
      <c r="E15" s="85" t="inlineStr">
        <is>
          <t>Kilotonnes 2019/2020/2021/2022</t>
        </is>
      </c>
      <c r="F15" s="77" t="n"/>
      <c r="G15" s="77" t="n"/>
      <c r="H15" s="77" t="n"/>
      <c r="I15" s="77" t="inlineStr">
        <is>
          <t>Kilotonnes 2023</t>
        </is>
      </c>
      <c r="J15" s="78" t="inlineStr">
        <is>
          <t>Lifetime</t>
        </is>
      </c>
      <c r="K15" s="77" t="inlineStr">
        <is>
          <t>Annual change in supply</t>
        </is>
      </c>
      <c r="L15" s="77" t="inlineStr">
        <is>
          <t>Cap replace</t>
        </is>
      </c>
      <c r="M15" s="77" t="inlineStr">
        <is>
          <t>Net annual trend</t>
        </is>
      </c>
      <c r="N15" s="86" t="inlineStr">
        <is>
          <t>Net annual change</t>
        </is>
      </c>
      <c r="O15" s="85" t="inlineStr">
        <is>
          <t>Classification</t>
        </is>
      </c>
      <c r="P15" s="77" t="inlineStr">
        <is>
          <t>TJ Net annual change</t>
        </is>
      </c>
      <c r="Q15" s="87" t="inlineStr">
        <is>
          <t>Marginal mix</t>
        </is>
      </c>
      <c r="R15" s="85" t="inlineStr">
        <is>
          <t>Classification</t>
        </is>
      </c>
      <c r="S15" s="77" t="inlineStr">
        <is>
          <t>TJ Net annual change</t>
        </is>
      </c>
      <c r="T15" s="87" t="inlineStr">
        <is>
          <t>Marginal mix</t>
        </is>
      </c>
      <c r="U15" s="90" t="inlineStr">
        <is>
          <t>Aver mix 2024</t>
        </is>
      </c>
    </row>
    <row r="16">
      <c r="A16">
        <f>"Imports from " &amp; [1]Int._Alum_Imports_2019!B2</f>
        <v/>
      </c>
      <c r="B16" s="129" t="inlineStr">
        <is>
          <t>n.a.</t>
        </is>
      </c>
      <c r="D16" s="130" t="n"/>
      <c r="E16" s="129">
        <f>[1]Int._Alum_Imports_2019!C2/1000</f>
        <v/>
      </c>
      <c r="I16">
        <f>[1]Int._Alum_Imports_2019!H2/1000</f>
        <v/>
      </c>
      <c r="J16" s="130" t="inlineStr">
        <is>
          <t>n.a.</t>
        </is>
      </c>
      <c r="K16" s="131">
        <f>((I16-E16)/(2023-2019))/E16</f>
        <v/>
      </c>
      <c r="L16" t="inlineStr">
        <is>
          <t>n.a.</t>
        </is>
      </c>
      <c r="M16" s="132">
        <f>K16</f>
        <v/>
      </c>
      <c r="N16" s="133">
        <f>E16*M16</f>
        <v/>
      </c>
      <c r="O16" s="129" t="inlineStr">
        <is>
          <t>n.a.</t>
        </is>
      </c>
      <c r="P16">
        <f>IF(($N$14)&gt;0,       IF(M16&gt;0,E16*M16,0),0 )</f>
        <v/>
      </c>
      <c r="Q16" s="57">
        <f>IFERROR(P16/(SUM($P$3:$P$13, $P$16:$P$93)),"n.a.")</f>
        <v/>
      </c>
      <c r="R16" s="129" t="n"/>
      <c r="T16" s="130" t="n"/>
      <c r="U16" s="58">
        <f>I16/($I$14+$I$94)</f>
        <v/>
      </c>
    </row>
    <row r="17">
      <c r="A17">
        <f>"Imports from " &amp; [1]Int._Alum_Imports_2019!B3</f>
        <v/>
      </c>
      <c r="B17" s="129" t="inlineStr">
        <is>
          <t>n.a.</t>
        </is>
      </c>
      <c r="D17" s="130" t="n"/>
      <c r="E17" s="129">
        <f>[1]Int._Alum_Imports_2019!C3/1000</f>
        <v/>
      </c>
      <c r="I17">
        <f>[1]Int._Alum_Imports_2019!H3/1000</f>
        <v/>
      </c>
      <c r="J17" s="130" t="inlineStr">
        <is>
          <t>n.a.</t>
        </is>
      </c>
      <c r="K17" s="131">
        <f>((I17-E17)/(2023-2019))/E17</f>
        <v/>
      </c>
      <c r="L17" t="inlineStr">
        <is>
          <t>n.a.</t>
        </is>
      </c>
      <c r="M17" s="132">
        <f>K17</f>
        <v/>
      </c>
      <c r="N17" s="133">
        <f>E17*M17</f>
        <v/>
      </c>
      <c r="O17" s="129" t="inlineStr">
        <is>
          <t>n.a.</t>
        </is>
      </c>
      <c r="P17">
        <f>IF(($N$14)&gt;0,       IF(M17&gt;0,E17*M17,0),0 )</f>
        <v/>
      </c>
      <c r="Q17" s="57">
        <f>IFERROR(P17/(SUM($P$3:$P$13, $P$16:$P$93)),"n.a.")</f>
        <v/>
      </c>
      <c r="R17" s="129" t="n"/>
      <c r="T17" s="130" t="n"/>
      <c r="U17" s="58">
        <f>I17/($I$14+$I$94)</f>
        <v/>
      </c>
    </row>
    <row r="18">
      <c r="A18">
        <f>"Imports from " &amp; [1]Int._Alum_Imports_2019!B4</f>
        <v/>
      </c>
      <c r="B18" s="129" t="inlineStr">
        <is>
          <t>n.a.</t>
        </is>
      </c>
      <c r="D18" s="130" t="n"/>
      <c r="E18" s="134">
        <f>(0.97+0.73)/1000</f>
        <v/>
      </c>
      <c r="F18" s="135" t="n"/>
      <c r="G18" s="135" t="n"/>
      <c r="H18" s="135" t="n"/>
      <c r="I18">
        <f>[1]Int._Alum_Imports_2019!H4/1000</f>
        <v/>
      </c>
      <c r="J18" s="130" t="inlineStr">
        <is>
          <t>n.a.</t>
        </is>
      </c>
      <c r="K18" s="136">
        <f>((I18-E18)/(2023-2020))/E18</f>
        <v/>
      </c>
      <c r="L18" t="inlineStr">
        <is>
          <t>n.a.</t>
        </is>
      </c>
      <c r="M18" s="132">
        <f>K18</f>
        <v/>
      </c>
      <c r="N18" s="133">
        <f>E18*M18</f>
        <v/>
      </c>
      <c r="O18" s="129" t="inlineStr">
        <is>
          <t>n.a.</t>
        </is>
      </c>
      <c r="P18">
        <f>IF(($N$14)&gt;0, IF(M18&gt;0,E18*M18,0),0 )</f>
        <v/>
      </c>
      <c r="Q18" s="57">
        <f>IFERROR(P18/(SUM($P$3:$P$13, $P$16:$P$93)),"n.a.")</f>
        <v/>
      </c>
      <c r="R18" s="129" t="n"/>
      <c r="T18" s="130" t="n"/>
      <c r="U18" s="58">
        <f>I18/($I$14+$I$94)</f>
        <v/>
      </c>
    </row>
    <row r="19">
      <c r="A19">
        <f>"Imports from " &amp; [1]Int._Alum_Imports_2019!B5</f>
        <v/>
      </c>
      <c r="B19" s="129" t="inlineStr">
        <is>
          <t>n.a.</t>
        </is>
      </c>
      <c r="D19" s="130" t="n"/>
      <c r="E19" s="129">
        <f>[1]Int._Alum_Imports_2019!C5/1000</f>
        <v/>
      </c>
      <c r="I19">
        <f>[1]Int._Alum_Imports_2019!H5/1000</f>
        <v/>
      </c>
      <c r="J19" s="130" t="inlineStr">
        <is>
          <t>n.a.</t>
        </is>
      </c>
      <c r="K19" s="131">
        <f>((I19-E19)/(2023-2019))/E19</f>
        <v/>
      </c>
      <c r="L19" t="inlineStr">
        <is>
          <t>n.a.</t>
        </is>
      </c>
      <c r="M19" s="132">
        <f>K19</f>
        <v/>
      </c>
      <c r="N19" s="133">
        <f>E19*M19</f>
        <v/>
      </c>
      <c r="O19" s="129" t="inlineStr">
        <is>
          <t>n.a.</t>
        </is>
      </c>
      <c r="P19">
        <f>IF(($N$14)&gt;0, IF(M19&gt;0,E19*M19,0),0 )</f>
        <v/>
      </c>
      <c r="Q19" s="57">
        <f>IFERROR(P19/(SUM($P$3:$P$13, $P$16:$P$93)),"n.a.")</f>
        <v/>
      </c>
      <c r="R19" s="129" t="n"/>
      <c r="T19" s="130" t="n"/>
      <c r="U19" s="58">
        <f>I19/($I$14+$I$94)</f>
        <v/>
      </c>
    </row>
    <row r="20">
      <c r="A20">
        <f>"Imports from " &amp; [1]Int._Alum_Imports_2019!B6</f>
        <v/>
      </c>
      <c r="B20" s="129" t="inlineStr">
        <is>
          <t>n.a.</t>
        </is>
      </c>
      <c r="D20" s="130" t="n"/>
      <c r="E20" s="129">
        <f>[1]Int._Alum_Imports_2019!C6/1000</f>
        <v/>
      </c>
      <c r="I20">
        <f>[1]Int._Alum_Imports_2019!H6/1000</f>
        <v/>
      </c>
      <c r="J20" s="130" t="inlineStr">
        <is>
          <t>n.a.</t>
        </is>
      </c>
      <c r="K20" s="131">
        <f>((I20-E20)/(2023-2019))/E20</f>
        <v/>
      </c>
      <c r="L20" t="inlineStr">
        <is>
          <t>n.a.</t>
        </is>
      </c>
      <c r="M20" s="132">
        <f>K20</f>
        <v/>
      </c>
      <c r="N20" s="133">
        <f>E20*M20</f>
        <v/>
      </c>
      <c r="O20" s="129" t="inlineStr">
        <is>
          <t>n.a.</t>
        </is>
      </c>
      <c r="P20">
        <f>IF(($N$14)&gt;0, IF(M20&gt;0,E20*M20,0),0 )</f>
        <v/>
      </c>
      <c r="Q20" s="57">
        <f>IFERROR(P20/(SUM($P$3:$P$13, $P$16:$P$93)),"n.a.")</f>
        <v/>
      </c>
      <c r="R20" s="129" t="n"/>
      <c r="T20" s="130" t="n"/>
      <c r="U20" s="58">
        <f>I20/($I$14+$I$94)</f>
        <v/>
      </c>
    </row>
    <row r="21">
      <c r="A21">
        <f>"Imports from " &amp; [1]Int._Alum_Imports_2019!B7</f>
        <v/>
      </c>
      <c r="B21" s="129" t="inlineStr">
        <is>
          <t>n.a.</t>
        </is>
      </c>
      <c r="D21" s="130" t="n"/>
      <c r="E21" s="129">
        <f>[1]Int._Alum_Imports_2019!C7/1000</f>
        <v/>
      </c>
      <c r="I21">
        <f>[1]Int._Alum_Imports_2019!H7/1000</f>
        <v/>
      </c>
      <c r="J21" s="130" t="inlineStr">
        <is>
          <t>n.a.</t>
        </is>
      </c>
      <c r="K21" s="131">
        <f>((I21-E21)/(2023-2019))/E21</f>
        <v/>
      </c>
      <c r="L21" t="inlineStr">
        <is>
          <t>n.a.</t>
        </is>
      </c>
      <c r="M21" s="132">
        <f>K21</f>
        <v/>
      </c>
      <c r="N21" s="133">
        <f>E21*M21</f>
        <v/>
      </c>
      <c r="O21" s="129" t="inlineStr">
        <is>
          <t>n.a.</t>
        </is>
      </c>
      <c r="P21">
        <f>IF(($N$14)&gt;0, IF(M21&gt;0,E21*M21,0),0 )</f>
        <v/>
      </c>
      <c r="Q21" s="57">
        <f>IFERROR(P21/(SUM($P$3:$P$13, $P$16:$P$93)),"n.a.")</f>
        <v/>
      </c>
      <c r="R21" s="129" t="n"/>
      <c r="T21" s="130" t="n"/>
      <c r="U21" s="58">
        <f>I21/($I$14+$I$94)</f>
        <v/>
      </c>
    </row>
    <row r="22">
      <c r="A22">
        <f>"Imports from " &amp; [1]Int._Alum_Imports_2019!B8</f>
        <v/>
      </c>
      <c r="B22" s="129" t="inlineStr">
        <is>
          <t>n.a.</t>
        </is>
      </c>
      <c r="D22" s="130" t="n"/>
      <c r="E22" s="129">
        <f>[1]Int._Alum_Imports_2019!C8/1000</f>
        <v/>
      </c>
      <c r="I22">
        <f>[1]Int._Alum_Imports_2019!H8/1000</f>
        <v/>
      </c>
      <c r="J22" s="130" t="inlineStr">
        <is>
          <t>n.a.</t>
        </is>
      </c>
      <c r="K22" s="131">
        <f>((I22-E22)/(2023-2019))/E22</f>
        <v/>
      </c>
      <c r="L22" t="inlineStr">
        <is>
          <t>n.a.</t>
        </is>
      </c>
      <c r="M22" s="132">
        <f>K22</f>
        <v/>
      </c>
      <c r="N22" s="133">
        <f>E22*M22</f>
        <v/>
      </c>
      <c r="O22" s="129" t="inlineStr">
        <is>
          <t>n.a.</t>
        </is>
      </c>
      <c r="P22">
        <f>IF(($N$14)&gt;0, IF(M22&gt;0,E22*M22,0),0 )</f>
        <v/>
      </c>
      <c r="Q22" s="57">
        <f>IFERROR(P22/(SUM($P$3:$P$13, $P$16:$P$93)),"n.a.")</f>
        <v/>
      </c>
      <c r="R22" s="129" t="n"/>
      <c r="T22" s="130" t="n"/>
      <c r="U22" s="58">
        <f>I22/($I$14+$I$94)</f>
        <v/>
      </c>
    </row>
    <row r="23">
      <c r="A23">
        <f>"Imports from " &amp; [1]Int._Alum_Imports_2019!B9</f>
        <v/>
      </c>
      <c r="B23" s="129" t="inlineStr">
        <is>
          <t>n.a.</t>
        </is>
      </c>
      <c r="D23" s="130" t="n"/>
      <c r="E23" s="129">
        <f>[1]Int._Alum_Imports_2019!C9/1000</f>
        <v/>
      </c>
      <c r="I23">
        <f>[1]Int._Alum_Imports_2019!H9/1000</f>
        <v/>
      </c>
      <c r="J23" s="130" t="inlineStr">
        <is>
          <t>n.a.</t>
        </is>
      </c>
      <c r="K23" s="131">
        <f>((I23-E23)/(2023-2019))/E23</f>
        <v/>
      </c>
      <c r="L23" t="inlineStr">
        <is>
          <t>n.a.</t>
        </is>
      </c>
      <c r="M23" s="132">
        <f>K23</f>
        <v/>
      </c>
      <c r="N23" s="133">
        <f>E23*M23</f>
        <v/>
      </c>
      <c r="O23" s="129" t="inlineStr">
        <is>
          <t>n.a.</t>
        </is>
      </c>
      <c r="P23">
        <f>IF(($N$14)&gt;0, IF(M23&gt;0,E23*M23,0),0 )</f>
        <v/>
      </c>
      <c r="Q23" s="57">
        <f>IFERROR(P23/(SUM($P$3:$P$13, $P$16:$P$93)),"n.a.")</f>
        <v/>
      </c>
      <c r="R23" s="129" t="n"/>
      <c r="T23" s="130" t="n"/>
      <c r="U23" s="58">
        <f>I23/($I$14+$I$94)</f>
        <v/>
      </c>
    </row>
    <row r="24">
      <c r="A24">
        <f>"Imports from " &amp; [1]Int._Alum_Imports_2019!B10</f>
        <v/>
      </c>
      <c r="B24" s="129" t="inlineStr">
        <is>
          <t>n.a.</t>
        </is>
      </c>
      <c r="D24" s="130" t="n"/>
      <c r="E24" s="134">
        <f>0.61/1000</f>
        <v/>
      </c>
      <c r="F24" s="135" t="n"/>
      <c r="G24" s="135" t="n"/>
      <c r="H24" s="135" t="n"/>
      <c r="I24">
        <f>[1]Int._Alum_Imports_2019!H10/1000</f>
        <v/>
      </c>
      <c r="J24" s="130" t="inlineStr">
        <is>
          <t>n.a.</t>
        </is>
      </c>
      <c r="K24" s="136">
        <f>((I24-E24)/(2023-2020))/E24</f>
        <v/>
      </c>
      <c r="L24" t="inlineStr">
        <is>
          <t>n.a.</t>
        </is>
      </c>
      <c r="M24" s="132">
        <f>K24</f>
        <v/>
      </c>
      <c r="N24" s="133">
        <f>E24*M24</f>
        <v/>
      </c>
      <c r="O24" s="129" t="inlineStr">
        <is>
          <t>n.a.</t>
        </is>
      </c>
      <c r="P24">
        <f>IF(($N$14)&gt;0, IF(M24&gt;0,E24*M24,0),0 )</f>
        <v/>
      </c>
      <c r="Q24" s="57">
        <f>IFERROR(P24/(SUM($P$3:$P$13, $P$16:$P$93)),"n.a.")</f>
        <v/>
      </c>
      <c r="R24" s="129" t="n"/>
      <c r="T24" s="130" t="n"/>
      <c r="U24" s="58">
        <f>I24/($I$14+$I$94)</f>
        <v/>
      </c>
    </row>
    <row r="25">
      <c r="A25">
        <f>"Imports from " &amp; [1]Int._Alum_Imports_2019!B11</f>
        <v/>
      </c>
      <c r="B25" s="129" t="inlineStr">
        <is>
          <t>n.a.</t>
        </is>
      </c>
      <c r="D25" s="130" t="n"/>
      <c r="E25" s="129">
        <f>[1]Int._Alum_Imports_2019!C11/1000</f>
        <v/>
      </c>
      <c r="I25">
        <f>[1]Int._Alum_Imports_2019!H11/1000</f>
        <v/>
      </c>
      <c r="J25" s="130" t="inlineStr">
        <is>
          <t>n.a.</t>
        </is>
      </c>
      <c r="K25" s="131">
        <f>((I25-E25)/(2023-2019))/E25</f>
        <v/>
      </c>
      <c r="L25" t="inlineStr">
        <is>
          <t>n.a.</t>
        </is>
      </c>
      <c r="M25" s="132">
        <f>K25</f>
        <v/>
      </c>
      <c r="N25" s="133">
        <f>E25*M25</f>
        <v/>
      </c>
      <c r="O25" s="129" t="inlineStr">
        <is>
          <t>n.a.</t>
        </is>
      </c>
      <c r="P25">
        <f>IF(($N$14)&gt;0, IF(M25&gt;0,E25*M25,0),0 )</f>
        <v/>
      </c>
      <c r="Q25" s="57">
        <f>IFERROR(P25/(SUM($P$3:$P$13, $P$16:$P$93)),"n.a.")</f>
        <v/>
      </c>
      <c r="R25" s="129" t="n"/>
      <c r="T25" s="130" t="n"/>
      <c r="U25" s="58">
        <f>I25/($I$14+$I$94)</f>
        <v/>
      </c>
    </row>
    <row r="26">
      <c r="A26">
        <f>"Imports from " &amp; [1]Int._Alum_Imports_2019!B12</f>
        <v/>
      </c>
      <c r="B26" s="129" t="inlineStr">
        <is>
          <t>n.a.</t>
        </is>
      </c>
      <c r="D26" s="130" t="n"/>
      <c r="E26" s="129">
        <f>[1]Int._Alum_Imports_2019!C12/1000</f>
        <v/>
      </c>
      <c r="I26">
        <f>[1]Int._Alum_Imports_2019!H12/1000</f>
        <v/>
      </c>
      <c r="J26" s="130" t="inlineStr">
        <is>
          <t>n.a.</t>
        </is>
      </c>
      <c r="K26" s="131">
        <f>((I26-E26)/(2023-2019))/E26</f>
        <v/>
      </c>
      <c r="L26" t="inlineStr">
        <is>
          <t>n.a.</t>
        </is>
      </c>
      <c r="M26" s="132">
        <f>K26</f>
        <v/>
      </c>
      <c r="N26" s="133">
        <f>E26*M26</f>
        <v/>
      </c>
      <c r="O26" s="129" t="inlineStr">
        <is>
          <t>n.a.</t>
        </is>
      </c>
      <c r="P26">
        <f>IF(($N$14)&gt;0, IF(M26&gt;0,E26*M26,0),0 )</f>
        <v/>
      </c>
      <c r="Q26" s="57">
        <f>IFERROR(P26/(SUM($P$3:$P$13, $P$16:$P$93)),"n.a.")</f>
        <v/>
      </c>
      <c r="R26" s="129" t="n"/>
      <c r="T26" s="130" t="n"/>
      <c r="U26" s="58">
        <f>I26/($I$14+$I$94)</f>
        <v/>
      </c>
    </row>
    <row r="27">
      <c r="A27">
        <f>"Imports from " &amp; [1]Int._Alum_Imports_2019!B13</f>
        <v/>
      </c>
      <c r="B27" s="129" t="inlineStr">
        <is>
          <t>n.a.</t>
        </is>
      </c>
      <c r="D27" s="130" t="n"/>
      <c r="E27" s="134">
        <f>(3.94+3.94)/1000</f>
        <v/>
      </c>
      <c r="F27" s="135" t="n"/>
      <c r="G27" s="135" t="n"/>
      <c r="H27" s="135" t="n"/>
      <c r="I27">
        <f>[1]Int._Alum_Imports_2019!H13/1000</f>
        <v/>
      </c>
      <c r="J27" s="130" t="inlineStr">
        <is>
          <t>n.a.</t>
        </is>
      </c>
      <c r="K27" s="136">
        <f>((I27-E27)/(2023-2020))/E27</f>
        <v/>
      </c>
      <c r="L27" t="inlineStr">
        <is>
          <t>n.a.</t>
        </is>
      </c>
      <c r="M27" s="132">
        <f>K27</f>
        <v/>
      </c>
      <c r="N27" s="133">
        <f>E27*M27</f>
        <v/>
      </c>
      <c r="O27" s="129" t="inlineStr">
        <is>
          <t>n.a.</t>
        </is>
      </c>
      <c r="P27">
        <f>IF(($N$14)&gt;0, IF(M27&gt;0,E27*M27,0),0 )</f>
        <v/>
      </c>
      <c r="Q27" s="57">
        <f>IFERROR(P27/(SUM($P$3:$P$13, $P$16:$P$93)),"n.a.")</f>
        <v/>
      </c>
      <c r="R27" s="129" t="n"/>
      <c r="T27" s="130" t="n"/>
      <c r="U27" s="58">
        <f>I27/($I$14+$I$94)</f>
        <v/>
      </c>
    </row>
    <row r="28">
      <c r="A28">
        <f>"Imports from " &amp; [1]Int._Alum_Imports_2019!B14</f>
        <v/>
      </c>
      <c r="B28" s="129" t="inlineStr">
        <is>
          <t>n.a.</t>
        </is>
      </c>
      <c r="D28" s="130" t="n"/>
      <c r="E28" s="134">
        <f>21.32/1000</f>
        <v/>
      </c>
      <c r="F28" s="135" t="n"/>
      <c r="G28" s="135" t="n"/>
      <c r="H28" s="135" t="n"/>
      <c r="I28">
        <f>[1]Int._Alum_Imports_2019!H14/1000</f>
        <v/>
      </c>
      <c r="J28" s="130" t="inlineStr">
        <is>
          <t>n.a.</t>
        </is>
      </c>
      <c r="K28" s="136">
        <f>((I28-E28)/(2023-2021))/E28</f>
        <v/>
      </c>
      <c r="L28" t="inlineStr">
        <is>
          <t>n.a.</t>
        </is>
      </c>
      <c r="M28" s="132">
        <f>K28</f>
        <v/>
      </c>
      <c r="N28" s="133">
        <f>E28*M28</f>
        <v/>
      </c>
      <c r="O28" s="129" t="inlineStr">
        <is>
          <t>n.a.</t>
        </is>
      </c>
      <c r="P28">
        <f>IF(($N$14)&gt;0, IF(M28&gt;0,E28*M28,0),0 )</f>
        <v/>
      </c>
      <c r="Q28" s="57">
        <f>IFERROR(P28/(SUM($P$3:$P$13, $P$16:$P$93)),"n.a.")</f>
        <v/>
      </c>
      <c r="R28" s="129" t="n"/>
      <c r="T28" s="130" t="n"/>
      <c r="U28" s="58">
        <f>I28/($I$14+$I$94)</f>
        <v/>
      </c>
    </row>
    <row r="29">
      <c r="A29">
        <f>"Imports from " &amp; [1]Int._Alum_Imports_2019!B15</f>
        <v/>
      </c>
      <c r="B29" s="129" t="inlineStr">
        <is>
          <t>n.a.</t>
        </is>
      </c>
      <c r="D29" s="130" t="n"/>
      <c r="E29" s="129">
        <f>[1]Int._Alum_Imports_2019!C15/1000</f>
        <v/>
      </c>
      <c r="I29">
        <f>[1]Int._Alum_Imports_2019!H15/1000</f>
        <v/>
      </c>
      <c r="J29" s="130" t="inlineStr">
        <is>
          <t>n.a.</t>
        </is>
      </c>
      <c r="K29" s="131">
        <f>((I29-E29)/(2023-2019))/E29</f>
        <v/>
      </c>
      <c r="L29" t="inlineStr">
        <is>
          <t>n.a.</t>
        </is>
      </c>
      <c r="M29" s="132">
        <f>K29</f>
        <v/>
      </c>
      <c r="N29" s="133">
        <f>E29*M29</f>
        <v/>
      </c>
      <c r="O29" s="129" t="inlineStr">
        <is>
          <t>n.a.</t>
        </is>
      </c>
      <c r="P29">
        <f>IF(($N$14)&gt;0, IF(M29&gt;0,E29*M29,0),0 )</f>
        <v/>
      </c>
      <c r="Q29" s="57">
        <f>IFERROR(P29/(SUM($P$3:$P$13, $P$16:$P$93)),"n.a.")</f>
        <v/>
      </c>
      <c r="R29" s="129" t="n"/>
      <c r="T29" s="130" t="n"/>
      <c r="U29" s="58">
        <f>I29/($I$14+$I$94)</f>
        <v/>
      </c>
    </row>
    <row r="30">
      <c r="A30">
        <f>"Imports from " &amp; [1]Int._Alum_Imports_2019!B16</f>
        <v/>
      </c>
      <c r="B30" s="129" t="inlineStr">
        <is>
          <t>n.a.</t>
        </is>
      </c>
      <c r="D30" s="130" t="n"/>
      <c r="E30" s="129">
        <f>[1]Int._Alum_Imports_2019!C16/1000</f>
        <v/>
      </c>
      <c r="I30">
        <f>[1]Int._Alum_Imports_2019!H16/1000</f>
        <v/>
      </c>
      <c r="J30" s="130" t="inlineStr">
        <is>
          <t>n.a.</t>
        </is>
      </c>
      <c r="K30" s="131">
        <f>((I30-E30)/(2023-2019))/E30</f>
        <v/>
      </c>
      <c r="L30" t="inlineStr">
        <is>
          <t>n.a.</t>
        </is>
      </c>
      <c r="M30" s="132">
        <f>K30</f>
        <v/>
      </c>
      <c r="N30" s="133">
        <f>E30*M30</f>
        <v/>
      </c>
      <c r="O30" s="129" t="inlineStr">
        <is>
          <t>n.a.</t>
        </is>
      </c>
      <c r="P30">
        <f>IF(($N$14)&gt;0, IF(M30&gt;0,E30*M30,0),0 )</f>
        <v/>
      </c>
      <c r="Q30" s="137">
        <f>IFERROR(P30/(SUM($P$3:$P$13, $P$16:$P$93)),"n.a.")</f>
        <v/>
      </c>
      <c r="R30" s="129" t="n"/>
      <c r="T30" s="130" t="n"/>
      <c r="U30" s="58">
        <f>I30/($I$14+$I$94)</f>
        <v/>
      </c>
    </row>
    <row r="31">
      <c r="A31">
        <f>"Imports from " &amp; [1]Int._Alum_Imports_2019!B17</f>
        <v/>
      </c>
      <c r="B31" s="129" t="inlineStr">
        <is>
          <t>n.a.</t>
        </is>
      </c>
      <c r="D31" s="130" t="n"/>
      <c r="E31" s="129">
        <f>[1]Int._Alum_Imports_2019!C17/1000</f>
        <v/>
      </c>
      <c r="I31">
        <f>[1]Int._Alum_Imports_2019!H17/1000</f>
        <v/>
      </c>
      <c r="J31" s="130" t="inlineStr">
        <is>
          <t>n.a.</t>
        </is>
      </c>
      <c r="K31" s="131">
        <f>((I31-E31)/(2023-2019))/E31</f>
        <v/>
      </c>
      <c r="L31" t="inlineStr">
        <is>
          <t>n.a.</t>
        </is>
      </c>
      <c r="M31" s="132">
        <f>K31</f>
        <v/>
      </c>
      <c r="N31" s="133">
        <f>E31*M31</f>
        <v/>
      </c>
      <c r="O31" s="129" t="inlineStr">
        <is>
          <t>n.a.</t>
        </is>
      </c>
      <c r="P31">
        <f>IF(($N$14)&gt;0, IF(M31&gt;0,E31*M31,0),0 )</f>
        <v/>
      </c>
      <c r="Q31" s="57">
        <f>IFERROR(P31/(SUM($P$3:$P$13, $P$16:$P$93)),"n.a.")</f>
        <v/>
      </c>
      <c r="R31" s="129" t="n"/>
      <c r="T31" s="130" t="n"/>
      <c r="U31" s="58">
        <f>I31/($I$14+$I$94)</f>
        <v/>
      </c>
    </row>
    <row r="32">
      <c r="A32">
        <f>"Imports from " &amp; [1]Int._Alum_Imports_2019!B18</f>
        <v/>
      </c>
      <c r="B32" s="129" t="inlineStr">
        <is>
          <t>n.a.</t>
        </is>
      </c>
      <c r="D32" s="130" t="n"/>
      <c r="E32" s="129">
        <f>[1]Int._Alum_Imports_2019!C18/1000</f>
        <v/>
      </c>
      <c r="I32">
        <f>[1]Int._Alum_Imports_2019!H18/1000</f>
        <v/>
      </c>
      <c r="J32" s="130" t="inlineStr">
        <is>
          <t>n.a.</t>
        </is>
      </c>
      <c r="K32" s="131">
        <f>((I32-E32)/(2023-2019))/E32</f>
        <v/>
      </c>
      <c r="L32" t="inlineStr">
        <is>
          <t>n.a.</t>
        </is>
      </c>
      <c r="M32" s="132">
        <f>K32</f>
        <v/>
      </c>
      <c r="N32" s="133">
        <f>E32*M32</f>
        <v/>
      </c>
      <c r="O32" s="129" t="inlineStr">
        <is>
          <t>n.a.</t>
        </is>
      </c>
      <c r="P32">
        <f>IF(($N$14)&gt;0, IF(M32&gt;0,E32*M32,0),0 )</f>
        <v/>
      </c>
      <c r="Q32" s="57">
        <f>IFERROR(P32/(SUM($P$3:$P$13, $P$16:$P$93)),"n.a.")</f>
        <v/>
      </c>
      <c r="R32" s="129" t="n"/>
      <c r="T32" s="130" t="n"/>
      <c r="U32" s="58">
        <f>I32/($I$14+$I$94)</f>
        <v/>
      </c>
    </row>
    <row r="33">
      <c r="A33">
        <f>"Imports from " &amp; [1]Int._Alum_Imports_2019!B19</f>
        <v/>
      </c>
      <c r="B33" s="129" t="inlineStr">
        <is>
          <t>n.a.</t>
        </is>
      </c>
      <c r="D33" s="130" t="n"/>
      <c r="E33" s="129">
        <f>[1]Int._Alum_Imports_2019!C19/1000</f>
        <v/>
      </c>
      <c r="I33">
        <f>[1]Int._Alum_Imports_2019!H19/1000</f>
        <v/>
      </c>
      <c r="J33" s="130" t="inlineStr">
        <is>
          <t>n.a.</t>
        </is>
      </c>
      <c r="K33" s="131">
        <f>((I33-E33)/(2023-2019))/E33</f>
        <v/>
      </c>
      <c r="L33" t="inlineStr">
        <is>
          <t>n.a.</t>
        </is>
      </c>
      <c r="M33" s="132">
        <f>K33</f>
        <v/>
      </c>
      <c r="N33" s="133">
        <f>E33*M33</f>
        <v/>
      </c>
      <c r="O33" s="129" t="inlineStr">
        <is>
          <t>n.a.</t>
        </is>
      </c>
      <c r="P33">
        <f>IF(($N$14)&gt;0, IF(M33&gt;0,E33*M33,0),0 )</f>
        <v/>
      </c>
      <c r="Q33" s="137">
        <f>IFERROR(P33/(SUM($P$3:$P$13, $P$16:$P$93)),"n.a.")</f>
        <v/>
      </c>
      <c r="R33" s="129" t="n"/>
      <c r="T33" s="130" t="n"/>
      <c r="U33" s="58">
        <f>I33/($I$14+$I$94)</f>
        <v/>
      </c>
    </row>
    <row r="34">
      <c r="A34">
        <f>"Imports from " &amp; [1]Int._Alum_Imports_2019!B20</f>
        <v/>
      </c>
      <c r="B34" s="129" t="inlineStr">
        <is>
          <t>n.a.</t>
        </is>
      </c>
      <c r="D34" s="130" t="n"/>
      <c r="E34" s="129">
        <f>[1]Int._Alum_Imports_2019!C20/1000</f>
        <v/>
      </c>
      <c r="I34">
        <f>[1]Int._Alum_Imports_2019!H20/1000</f>
        <v/>
      </c>
      <c r="J34" s="130" t="inlineStr">
        <is>
          <t>n.a.</t>
        </is>
      </c>
      <c r="K34" s="131">
        <f>((I34-E34)/(2023-2019))/E34</f>
        <v/>
      </c>
      <c r="L34" t="inlineStr">
        <is>
          <t>n.a.</t>
        </is>
      </c>
      <c r="M34" s="132">
        <f>K34</f>
        <v/>
      </c>
      <c r="N34" s="133">
        <f>E34*M34</f>
        <v/>
      </c>
      <c r="O34" s="129" t="inlineStr">
        <is>
          <t>n.a.</t>
        </is>
      </c>
      <c r="P34">
        <f>IF(($N$14)&gt;0, IF(M34&gt;0,E34*M34,0),0 )</f>
        <v/>
      </c>
      <c r="Q34" s="57">
        <f>IFERROR(P34/(SUM($P$3:$P$13, $P$16:$P$93)),"n.a.")</f>
        <v/>
      </c>
      <c r="R34" s="129" t="n"/>
      <c r="T34" s="130" t="n"/>
      <c r="U34" s="58">
        <f>I34/($I$14+$I$94)</f>
        <v/>
      </c>
    </row>
    <row r="35">
      <c r="A35">
        <f>"Imports from " &amp; [1]Int._Alum_Imports_2019!B21</f>
        <v/>
      </c>
      <c r="B35" s="129" t="inlineStr">
        <is>
          <t>n.a.</t>
        </is>
      </c>
      <c r="D35" s="130" t="n"/>
      <c r="E35" s="134">
        <f>9.9/1000</f>
        <v/>
      </c>
      <c r="F35" s="135" t="n"/>
      <c r="G35" s="135" t="n"/>
      <c r="H35" s="135" t="n"/>
      <c r="I35">
        <f>[1]Int._Alum_Imports_2019!H21/1000</f>
        <v/>
      </c>
      <c r="J35" s="130" t="inlineStr">
        <is>
          <t>n.a.</t>
        </is>
      </c>
      <c r="K35" s="136">
        <f>((I35-E35)/(2023-2020))/E35</f>
        <v/>
      </c>
      <c r="L35" t="inlineStr">
        <is>
          <t>n.a.</t>
        </is>
      </c>
      <c r="M35" s="132">
        <f>K35</f>
        <v/>
      </c>
      <c r="N35" s="133">
        <f>E35*M35</f>
        <v/>
      </c>
      <c r="O35" s="129" t="inlineStr">
        <is>
          <t>n.a.</t>
        </is>
      </c>
      <c r="P35">
        <f>IF(($N$14)&gt;0, IF(M35&gt;0,E35*M35,0),0 )</f>
        <v/>
      </c>
      <c r="Q35" s="57">
        <f>IFERROR(P35/(SUM($P$3:$P$13, $P$16:$P$93)),"n.a.")</f>
        <v/>
      </c>
      <c r="R35" s="129" t="n"/>
      <c r="T35" s="130" t="n"/>
      <c r="U35" s="58">
        <f>I35/($I$14+$I$94)</f>
        <v/>
      </c>
    </row>
    <row r="36" customFormat="1" s="138">
      <c r="A36" s="138">
        <f>"Imports from " &amp; [1]Int._Alum_Imports_2019!B22</f>
        <v/>
      </c>
      <c r="B36" s="139" t="inlineStr">
        <is>
          <t>n.a.</t>
        </is>
      </c>
      <c r="D36" s="140" t="n"/>
      <c r="E36" s="139" t="n">
        <v>0</v>
      </c>
      <c r="I36" s="138">
        <f>[1]Int._Alum_Imports_2019!H22/1000</f>
        <v/>
      </c>
      <c r="J36" s="140" t="inlineStr">
        <is>
          <t>n.a.</t>
        </is>
      </c>
      <c r="K36" s="141" t="n">
        <v>0</v>
      </c>
      <c r="L36" s="138" t="inlineStr">
        <is>
          <t>n.a.</t>
        </is>
      </c>
      <c r="M36" s="142">
        <f>K36</f>
        <v/>
      </c>
      <c r="N36" s="143">
        <f>E36*M36</f>
        <v/>
      </c>
      <c r="O36" s="139" t="inlineStr">
        <is>
          <t>n.a.</t>
        </is>
      </c>
      <c r="P36">
        <f>IF(($N$14)&gt;0, IF(M36&gt;0,E36*M36,0),0 )</f>
        <v/>
      </c>
      <c r="Q36" s="57">
        <f>IFERROR(P36/(SUM($P$3:$P$13, $P$16:$P$93)),"n.a.")</f>
        <v/>
      </c>
      <c r="R36" s="139" t="n"/>
      <c r="T36" s="140" t="n"/>
      <c r="U36" s="144">
        <f>I36/($I$14+$I$94)</f>
        <v/>
      </c>
    </row>
    <row r="37">
      <c r="A37">
        <f>"Imports from " &amp; [1]Int._Alum_Imports_2019!B23</f>
        <v/>
      </c>
      <c r="B37" s="129" t="inlineStr">
        <is>
          <t>n.a.</t>
        </is>
      </c>
      <c r="D37" s="130" t="n"/>
      <c r="E37" s="134">
        <f>(0.97+0.5)/1000</f>
        <v/>
      </c>
      <c r="F37" s="135" t="n"/>
      <c r="G37" s="135" t="n"/>
      <c r="H37" s="135" t="n"/>
      <c r="I37">
        <f>[1]Int._Alum_Imports_2019!H23/1000</f>
        <v/>
      </c>
      <c r="J37" s="130" t="inlineStr">
        <is>
          <t>n.a.</t>
        </is>
      </c>
      <c r="K37" s="136">
        <f>((I37-E37)/(2023-2021))/E37</f>
        <v/>
      </c>
      <c r="L37" t="inlineStr">
        <is>
          <t>n.a.</t>
        </is>
      </c>
      <c r="M37" s="132">
        <f>K37</f>
        <v/>
      </c>
      <c r="N37" s="133">
        <f>E37*M37</f>
        <v/>
      </c>
      <c r="O37" s="129" t="inlineStr">
        <is>
          <t>n.a.</t>
        </is>
      </c>
      <c r="P37">
        <f>IF(($N$14)&gt;0, IF(M37&gt;0,E37*M37,0),0 )</f>
        <v/>
      </c>
      <c r="Q37" s="57">
        <f>IFERROR(P37/(SUM($P$3:$P$13, $P$16:$P$93)),"n.a.")</f>
        <v/>
      </c>
      <c r="R37" s="129" t="n"/>
      <c r="T37" s="130" t="n"/>
      <c r="U37" s="58">
        <f>I37/($I$14+$I$94)</f>
        <v/>
      </c>
    </row>
    <row r="38">
      <c r="A38">
        <f>"Imports from " &amp; [1]Int._Alum_Imports_2019!B24</f>
        <v/>
      </c>
      <c r="B38" s="129" t="inlineStr">
        <is>
          <t>n.a.</t>
        </is>
      </c>
      <c r="D38" s="130" t="n"/>
      <c r="E38" s="129">
        <f>[1]Int._Alum_Imports_2019!C24/1000</f>
        <v/>
      </c>
      <c r="I38">
        <f>[1]Int._Alum_Imports_2019!H24/1000</f>
        <v/>
      </c>
      <c r="J38" s="130" t="inlineStr">
        <is>
          <t>n.a.</t>
        </is>
      </c>
      <c r="K38" s="131">
        <f>((I38-E38)/(2023-2019))/E38</f>
        <v/>
      </c>
      <c r="L38" t="inlineStr">
        <is>
          <t>n.a.</t>
        </is>
      </c>
      <c r="M38" s="132">
        <f>K38</f>
        <v/>
      </c>
      <c r="N38" s="133">
        <f>E38*M38</f>
        <v/>
      </c>
      <c r="O38" s="129" t="inlineStr">
        <is>
          <t>n.a.</t>
        </is>
      </c>
      <c r="P38">
        <f>IF(($N$14)&gt;0, IF(M38&gt;0,E38*M38,0),0 )</f>
        <v/>
      </c>
      <c r="Q38" s="57">
        <f>IFERROR(P38/(SUM($P$3:$P$13, $P$16:$P$93)),"n.a.")</f>
        <v/>
      </c>
      <c r="R38" s="129" t="n"/>
      <c r="T38" s="130" t="n"/>
      <c r="U38" s="58">
        <f>I38/($I$14+$I$94)</f>
        <v/>
      </c>
    </row>
    <row r="39">
      <c r="A39">
        <f>"Imports from " &amp; [1]Int._Alum_Imports_2019!B25</f>
        <v/>
      </c>
      <c r="B39" s="129" t="inlineStr">
        <is>
          <t>n.a.</t>
        </is>
      </c>
      <c r="D39" s="130" t="n"/>
      <c r="E39" s="129">
        <f>[1]Int._Alum_Imports_2019!C25/1000</f>
        <v/>
      </c>
      <c r="I39">
        <f>[1]Int._Alum_Imports_2019!H25/1000</f>
        <v/>
      </c>
      <c r="J39" s="130" t="inlineStr">
        <is>
          <t>n.a.</t>
        </is>
      </c>
      <c r="K39" s="131">
        <f>((I39-E39)/(2023-2019))/E39</f>
        <v/>
      </c>
      <c r="L39" t="inlineStr">
        <is>
          <t>n.a.</t>
        </is>
      </c>
      <c r="M39" s="132">
        <f>K39</f>
        <v/>
      </c>
      <c r="N39" s="133">
        <f>E39*M39</f>
        <v/>
      </c>
      <c r="O39" s="129" t="inlineStr">
        <is>
          <t>n.a.</t>
        </is>
      </c>
      <c r="P39">
        <f>IF(($N$14)&gt;0, IF(M39&gt;0,E39*M39,0),0 )</f>
        <v/>
      </c>
      <c r="Q39" s="57">
        <f>IFERROR(P39/(SUM($P$3:$P$13, $P$16:$P$93)),"n.a.")</f>
        <v/>
      </c>
      <c r="R39" s="129" t="n"/>
      <c r="T39" s="130" t="n"/>
      <c r="U39" s="58">
        <f>I39/($I$14+$I$94)</f>
        <v/>
      </c>
    </row>
    <row r="40" customFormat="1" s="138">
      <c r="A40" s="138">
        <f>"Imports from " &amp; [1]Int._Alum_Imports_2019!B26</f>
        <v/>
      </c>
      <c r="B40" s="139" t="inlineStr">
        <is>
          <t>n.a.</t>
        </is>
      </c>
      <c r="D40" s="140" t="n"/>
      <c r="E40" s="139">
        <f>[1]Int._Alum_Imports_2019!C26/1000</f>
        <v/>
      </c>
      <c r="I40" s="138">
        <f>[1]Int._Alum_Imports_2019!H26/1000</f>
        <v/>
      </c>
      <c r="J40" s="140" t="inlineStr">
        <is>
          <t>n.a.</t>
        </is>
      </c>
      <c r="K40" s="141" t="n">
        <v>0</v>
      </c>
      <c r="L40" s="138" t="inlineStr">
        <is>
          <t>n.a.</t>
        </is>
      </c>
      <c r="M40" s="142">
        <f>K40</f>
        <v/>
      </c>
      <c r="N40" s="143">
        <f>E40*M40</f>
        <v/>
      </c>
      <c r="O40" s="139" t="inlineStr">
        <is>
          <t>n.a.</t>
        </is>
      </c>
      <c r="P40">
        <f>IF(($N$14)&gt;0, IF(M40&gt;0,E40*M40,0),0 )</f>
        <v/>
      </c>
      <c r="Q40" s="57">
        <f>IFERROR(P40/(SUM($P$3:$P$13, $P$16:$P$93)),"n.a.")</f>
        <v/>
      </c>
      <c r="R40" s="139" t="n"/>
      <c r="T40" s="140" t="n"/>
      <c r="U40" s="144">
        <f>I40/($I$14+$I$94)</f>
        <v/>
      </c>
    </row>
    <row r="41">
      <c r="A41">
        <f>"Imports from " &amp; [1]Int._Alum_Imports_2019!B27</f>
        <v/>
      </c>
      <c r="B41" s="129" t="inlineStr">
        <is>
          <t>n.a.</t>
        </is>
      </c>
      <c r="D41" s="130" t="n"/>
      <c r="E41" s="129">
        <f>[1]Int._Alum_Imports_2019!C27/1000</f>
        <v/>
      </c>
      <c r="I41">
        <f>[1]Int._Alum_Imports_2019!H27/1000</f>
        <v/>
      </c>
      <c r="J41" s="130" t="inlineStr">
        <is>
          <t>n.a.</t>
        </is>
      </c>
      <c r="K41" s="131">
        <f>((I41-E41)/(2023-2019))/E41</f>
        <v/>
      </c>
      <c r="L41" t="inlineStr">
        <is>
          <t>n.a.</t>
        </is>
      </c>
      <c r="M41" s="132">
        <f>K41</f>
        <v/>
      </c>
      <c r="N41" s="133">
        <f>E41*M41</f>
        <v/>
      </c>
      <c r="O41" s="129" t="inlineStr">
        <is>
          <t>n.a.</t>
        </is>
      </c>
      <c r="P41">
        <f>IF(($N$14)&gt;0, IF(M41&gt;0,E41*M41,0),0 )</f>
        <v/>
      </c>
      <c r="Q41" s="57">
        <f>IFERROR(P41/(SUM($P$3:$P$13, $P$16:$P$93)),"n.a.")</f>
        <v/>
      </c>
      <c r="R41" s="129" t="n"/>
      <c r="T41" s="130" t="n"/>
      <c r="U41" s="58">
        <f>I41/($I$14+$I$94)</f>
        <v/>
      </c>
    </row>
    <row r="42">
      <c r="A42">
        <f>"Imports from " &amp; [1]Int._Alum_Imports_2019!B28</f>
        <v/>
      </c>
      <c r="B42" s="129" t="inlineStr">
        <is>
          <t>n.a.</t>
        </is>
      </c>
      <c r="D42" s="130" t="n"/>
      <c r="E42" s="129">
        <f>[1]Int._Alum_Imports_2019!C28/1000</f>
        <v/>
      </c>
      <c r="I42">
        <f>[1]Int._Alum_Imports_2019!H28/1000</f>
        <v/>
      </c>
      <c r="J42" s="130" t="inlineStr">
        <is>
          <t>n.a.</t>
        </is>
      </c>
      <c r="K42" s="131">
        <f>((I42-E42)/(2023-2019))/E42</f>
        <v/>
      </c>
      <c r="L42" t="inlineStr">
        <is>
          <t>n.a.</t>
        </is>
      </c>
      <c r="M42" s="132">
        <f>K42</f>
        <v/>
      </c>
      <c r="N42" s="133">
        <f>E42*M42</f>
        <v/>
      </c>
      <c r="O42" s="129" t="inlineStr">
        <is>
          <t>n.a.</t>
        </is>
      </c>
      <c r="P42">
        <f>IF(($N$14)&gt;0, IF(M42&gt;0,E42*M42,0),0 )</f>
        <v/>
      </c>
      <c r="Q42" s="57">
        <f>IFERROR(P42/(SUM($P$3:$P$13, $P$16:$P$93)),"n.a.")</f>
        <v/>
      </c>
      <c r="R42" s="129" t="n"/>
      <c r="T42" s="130" t="n"/>
      <c r="U42" s="58">
        <f>I42/($I$14+$I$94)</f>
        <v/>
      </c>
    </row>
    <row r="43">
      <c r="A43">
        <f>"Imports from " &amp; [1]Int._Alum_Imports_2019!B29</f>
        <v/>
      </c>
      <c r="B43" s="129" t="inlineStr">
        <is>
          <t>n.a.</t>
        </is>
      </c>
      <c r="D43" s="130" t="n"/>
      <c r="E43" s="129">
        <f>[1]Int._Alum_Imports_2019!C29/1000</f>
        <v/>
      </c>
      <c r="I43">
        <f>[1]Int._Alum_Imports_2019!H29/1000</f>
        <v/>
      </c>
      <c r="J43" s="130" t="inlineStr">
        <is>
          <t>n.a.</t>
        </is>
      </c>
      <c r="K43" s="131">
        <f>((I43-E43)/(2023-2019))/E43</f>
        <v/>
      </c>
      <c r="L43" t="inlineStr">
        <is>
          <t>n.a.</t>
        </is>
      </c>
      <c r="M43" s="132">
        <f>K43</f>
        <v/>
      </c>
      <c r="N43" s="133">
        <f>E43*M43</f>
        <v/>
      </c>
      <c r="O43" s="129" t="inlineStr">
        <is>
          <t>n.a.</t>
        </is>
      </c>
      <c r="P43">
        <f>IF(($N$14)&gt;0, IF(M43&gt;0,E43*M43,0),0 )</f>
        <v/>
      </c>
      <c r="Q43" s="57">
        <f>IFERROR(P43/(SUM($P$3:$P$13, $P$16:$P$93)),"n.a.")</f>
        <v/>
      </c>
      <c r="R43" s="129" t="n"/>
      <c r="T43" s="130" t="n"/>
      <c r="U43" s="58">
        <f>I43/($I$14+$I$94)</f>
        <v/>
      </c>
    </row>
    <row r="44">
      <c r="A44">
        <f>"Imports from " &amp; [1]Int._Alum_Imports_2019!B30</f>
        <v/>
      </c>
      <c r="B44" s="129" t="inlineStr">
        <is>
          <t>n.a.</t>
        </is>
      </c>
      <c r="D44" s="130" t="n"/>
      <c r="E44" s="129">
        <f>[1]Int._Alum_Imports_2019!C30/1000</f>
        <v/>
      </c>
      <c r="I44">
        <f>[1]Int._Alum_Imports_2019!H30/1000</f>
        <v/>
      </c>
      <c r="J44" s="130" t="inlineStr">
        <is>
          <t>n.a.</t>
        </is>
      </c>
      <c r="K44" s="131">
        <f>((I44-E44)/(2023-2019))/E44</f>
        <v/>
      </c>
      <c r="L44" t="inlineStr">
        <is>
          <t>n.a.</t>
        </is>
      </c>
      <c r="M44" s="132">
        <f>K44</f>
        <v/>
      </c>
      <c r="N44" s="133">
        <f>E44*M44</f>
        <v/>
      </c>
      <c r="O44" s="129" t="inlineStr">
        <is>
          <t>n.a.</t>
        </is>
      </c>
      <c r="P44">
        <f>IF(($N$14)&gt;0, IF(M44&gt;0,E44*M44,0),0 )</f>
        <v/>
      </c>
      <c r="Q44" s="57">
        <f>IFERROR(P44/(SUM($P$3:$P$13, $P$16:$P$93)),"n.a.")</f>
        <v/>
      </c>
      <c r="R44" s="129" t="n"/>
      <c r="T44" s="130" t="n"/>
      <c r="U44" s="58">
        <f>I44/($I$14+$I$94)</f>
        <v/>
      </c>
    </row>
    <row r="45">
      <c r="A45">
        <f>"Imports from " &amp; [1]Int._Alum_Imports_2019!B31</f>
        <v/>
      </c>
      <c r="B45" s="129" t="inlineStr">
        <is>
          <t>n.a.</t>
        </is>
      </c>
      <c r="D45" s="130" t="n"/>
      <c r="E45" s="129">
        <f>[1]Int._Alum_Imports_2019!C31/1000</f>
        <v/>
      </c>
      <c r="I45">
        <f>[1]Int._Alum_Imports_2019!H31/1000</f>
        <v/>
      </c>
      <c r="J45" s="130" t="inlineStr">
        <is>
          <t>n.a.</t>
        </is>
      </c>
      <c r="K45" s="131">
        <f>((I45-E45)/(2023-2019))/E45</f>
        <v/>
      </c>
      <c r="L45" t="inlineStr">
        <is>
          <t>n.a.</t>
        </is>
      </c>
      <c r="M45" s="132">
        <f>K45</f>
        <v/>
      </c>
      <c r="N45" s="133">
        <f>E45*M45</f>
        <v/>
      </c>
      <c r="O45" s="129" t="inlineStr">
        <is>
          <t>n.a.</t>
        </is>
      </c>
      <c r="P45">
        <f>IF(($N$14)&gt;0, IF(M45&gt;0,E45*M45,0),0 )</f>
        <v/>
      </c>
      <c r="Q45" s="57">
        <f>IFERROR(P45/(SUM($P$3:$P$13, $P$16:$P$93)),"n.a.")</f>
        <v/>
      </c>
      <c r="R45" s="129" t="n"/>
      <c r="T45" s="130" t="n"/>
      <c r="U45" s="58">
        <f>I45/($I$14+$I$94)</f>
        <v/>
      </c>
    </row>
    <row r="46">
      <c r="A46">
        <f>"Imports from " &amp; [1]Int._Alum_Imports_2019!B32</f>
        <v/>
      </c>
      <c r="B46" s="129" t="inlineStr">
        <is>
          <t>n.a.</t>
        </is>
      </c>
      <c r="D46" s="130" t="n"/>
      <c r="E46" s="129">
        <f>[1]Int._Alum_Imports_2019!C32/1000</f>
        <v/>
      </c>
      <c r="I46">
        <f>[1]Int._Alum_Imports_2019!H32/1000</f>
        <v/>
      </c>
      <c r="J46" s="130" t="inlineStr">
        <is>
          <t>n.a.</t>
        </is>
      </c>
      <c r="K46" s="131">
        <f>((I46-E46)/(2023-2019))/E46</f>
        <v/>
      </c>
      <c r="L46" t="inlineStr">
        <is>
          <t>n.a.</t>
        </is>
      </c>
      <c r="M46" s="132">
        <f>K46</f>
        <v/>
      </c>
      <c r="N46" s="133">
        <f>E46*M46</f>
        <v/>
      </c>
      <c r="O46" s="129" t="inlineStr">
        <is>
          <t>n.a.</t>
        </is>
      </c>
      <c r="P46">
        <f>IF(($N$14)&gt;0, IF(M46&gt;0,E46*M46,0),0 )</f>
        <v/>
      </c>
      <c r="Q46" s="57">
        <f>IFERROR(P46/(SUM($P$3:$P$13, $P$16:$P$93)),"n.a.")</f>
        <v/>
      </c>
      <c r="R46" s="129" t="n"/>
      <c r="T46" s="130" t="n"/>
      <c r="U46" s="58">
        <f>I46/($I$14+$I$94)</f>
        <v/>
      </c>
    </row>
    <row r="47">
      <c r="A47">
        <f>"Imports from " &amp; [1]Int._Alum_Imports_2019!B33</f>
        <v/>
      </c>
      <c r="B47" s="129" t="inlineStr">
        <is>
          <t>n.a.</t>
        </is>
      </c>
      <c r="D47" s="130" t="n"/>
      <c r="E47" s="129">
        <f>[1]Int._Alum_Imports_2019!C33/1000</f>
        <v/>
      </c>
      <c r="I47">
        <f>[1]Int._Alum_Imports_2019!H33/1000</f>
        <v/>
      </c>
      <c r="J47" s="130" t="inlineStr">
        <is>
          <t>n.a.</t>
        </is>
      </c>
      <c r="K47" s="131">
        <f>((I47-E47)/(2023-2019))/E47</f>
        <v/>
      </c>
      <c r="L47" t="inlineStr">
        <is>
          <t>n.a.</t>
        </is>
      </c>
      <c r="M47" s="132">
        <f>K47</f>
        <v/>
      </c>
      <c r="N47" s="133">
        <f>E47*M47</f>
        <v/>
      </c>
      <c r="O47" s="129" t="inlineStr">
        <is>
          <t>n.a.</t>
        </is>
      </c>
      <c r="P47">
        <f>IF(($N$14)&gt;0, IF(M47&gt;0,E47*M47,0),0 )</f>
        <v/>
      </c>
      <c r="Q47" s="57">
        <f>IFERROR(P47/(SUM($P$3:$P$13, $P$16:$P$93)),"n.a.")</f>
        <v/>
      </c>
      <c r="R47" s="129" t="n"/>
      <c r="T47" s="130" t="n"/>
      <c r="U47" s="58">
        <f>I47/($I$14+$I$94)</f>
        <v/>
      </c>
    </row>
    <row r="48">
      <c r="A48">
        <f>"Imports from " &amp; [1]Int._Alum_Imports_2019!B34</f>
        <v/>
      </c>
      <c r="B48" s="129" t="inlineStr">
        <is>
          <t>n.a.</t>
        </is>
      </c>
      <c r="D48" s="130" t="n"/>
      <c r="E48" s="129">
        <f>[1]Int._Alum_Imports_2019!C34/1000</f>
        <v/>
      </c>
      <c r="I48">
        <f>[1]Int._Alum_Imports_2019!H34/1000</f>
        <v/>
      </c>
      <c r="J48" s="130" t="inlineStr">
        <is>
          <t>n.a.</t>
        </is>
      </c>
      <c r="K48" s="131">
        <f>((I48-E48)/(2023-2019))/E48</f>
        <v/>
      </c>
      <c r="L48" t="inlineStr">
        <is>
          <t>n.a.</t>
        </is>
      </c>
      <c r="M48" s="132">
        <f>K48</f>
        <v/>
      </c>
      <c r="N48" s="133">
        <f>E48*M48</f>
        <v/>
      </c>
      <c r="O48" s="129" t="inlineStr">
        <is>
          <t>n.a.</t>
        </is>
      </c>
      <c r="P48">
        <f>IF(($N$14)&gt;0, IF(M48&gt;0,E48*M48,0),0 )</f>
        <v/>
      </c>
      <c r="Q48" s="57">
        <f>IFERROR(P48/(SUM($P$3:$P$13, $P$16:$P$93)),"n.a.")</f>
        <v/>
      </c>
      <c r="R48" s="129" t="n"/>
      <c r="T48" s="130" t="n"/>
      <c r="U48" s="58">
        <f>I48/($I$14+$I$94)</f>
        <v/>
      </c>
    </row>
    <row r="49">
      <c r="A49">
        <f>"Imports from " &amp; [1]Int._Alum_Imports_2019!B35</f>
        <v/>
      </c>
      <c r="B49" s="129" t="inlineStr">
        <is>
          <t>n.a.</t>
        </is>
      </c>
      <c r="D49" s="130" t="n"/>
      <c r="E49" s="134">
        <f>(16.09+2.96)/1000</f>
        <v/>
      </c>
      <c r="F49" s="135" t="n"/>
      <c r="G49" s="135" t="n"/>
      <c r="H49" s="135" t="n"/>
      <c r="I49">
        <f>[1]Int._Alum_Imports_2019!H35/1000</f>
        <v/>
      </c>
      <c r="J49" s="130" t="inlineStr">
        <is>
          <t>n.a.</t>
        </is>
      </c>
      <c r="K49" s="136">
        <f>((I49-E49)/(2023-2021))/E49</f>
        <v/>
      </c>
      <c r="L49" t="inlineStr">
        <is>
          <t>n.a.</t>
        </is>
      </c>
      <c r="M49" s="132">
        <f>K49</f>
        <v/>
      </c>
      <c r="N49" s="133">
        <f>E49*M49</f>
        <v/>
      </c>
      <c r="O49" s="129" t="inlineStr">
        <is>
          <t>n.a.</t>
        </is>
      </c>
      <c r="P49">
        <f>IF(($N$14)&gt;0, IF(M49&gt;0,E49*M49,0),0 )</f>
        <v/>
      </c>
      <c r="Q49" s="57">
        <f>IFERROR(P49/(SUM($P$3:$P$13, $P$16:$P$93)),"n.a.")</f>
        <v/>
      </c>
      <c r="R49" s="129" t="n"/>
      <c r="T49" s="130" t="n"/>
      <c r="U49" s="58">
        <f>I49/($I$14+$I$94)</f>
        <v/>
      </c>
    </row>
    <row r="50">
      <c r="A50">
        <f>"Imports from " &amp; [1]Int._Alum_Imports_2019!B36</f>
        <v/>
      </c>
      <c r="B50" s="129" t="inlineStr">
        <is>
          <t>n.a.</t>
        </is>
      </c>
      <c r="D50" s="130" t="n"/>
      <c r="E50" s="129">
        <f>[1]Int._Alum_Imports_2019!C36/1000</f>
        <v/>
      </c>
      <c r="I50">
        <f>[1]Int._Alum_Imports_2019!H36/1000</f>
        <v/>
      </c>
      <c r="J50" s="130" t="inlineStr">
        <is>
          <t>n.a.</t>
        </is>
      </c>
      <c r="K50" s="131">
        <f>((I50-E50)/(2023-2019))/E50</f>
        <v/>
      </c>
      <c r="L50" t="inlineStr">
        <is>
          <t>n.a.</t>
        </is>
      </c>
      <c r="M50" s="132">
        <f>K50</f>
        <v/>
      </c>
      <c r="N50" s="133">
        <f>E50*M50</f>
        <v/>
      </c>
      <c r="O50" s="129" t="inlineStr">
        <is>
          <t>n.a.</t>
        </is>
      </c>
      <c r="P50">
        <f>IF(($N$14)&gt;0, IF(M50&gt;0,E50*M50,0),0 )</f>
        <v/>
      </c>
      <c r="Q50" s="57">
        <f>IFERROR(P50/(SUM($P$3:$P$13, $P$16:$P$93)),"n.a.")</f>
        <v/>
      </c>
      <c r="R50" s="129" t="n"/>
      <c r="T50" s="130" t="n"/>
      <c r="U50" s="58">
        <f>I50/($I$14+$I$94)</f>
        <v/>
      </c>
    </row>
    <row r="51">
      <c r="A51">
        <f>"Imports from " &amp; [1]Int._Alum_Imports_2019!B37</f>
        <v/>
      </c>
      <c r="B51" s="129" t="inlineStr">
        <is>
          <t>n.a.</t>
        </is>
      </c>
      <c r="D51" s="130" t="n"/>
      <c r="E51" s="129">
        <f>[1]Int._Alum_Imports_2019!C37/1000</f>
        <v/>
      </c>
      <c r="I51">
        <f>[1]Int._Alum_Imports_2019!H37/1000</f>
        <v/>
      </c>
      <c r="J51" s="130" t="inlineStr">
        <is>
          <t>n.a.</t>
        </is>
      </c>
      <c r="K51" s="131">
        <f>((I51-E51)/(2023-2019))/E51</f>
        <v/>
      </c>
      <c r="L51" t="inlineStr">
        <is>
          <t>n.a.</t>
        </is>
      </c>
      <c r="M51" s="132">
        <f>K51</f>
        <v/>
      </c>
      <c r="N51" s="133">
        <f>E51*M51</f>
        <v/>
      </c>
      <c r="O51" s="129" t="inlineStr">
        <is>
          <t>n.a.</t>
        </is>
      </c>
      <c r="P51">
        <f>IF(($N$14)&gt;0, IF(M51&gt;0,E51*M51,0),0 )</f>
        <v/>
      </c>
      <c r="Q51" s="57">
        <f>IFERROR(P51/(SUM($P$3:$P$13, $P$16:$P$93)),"n.a.")</f>
        <v/>
      </c>
      <c r="R51" s="129" t="n"/>
      <c r="T51" s="130" t="n"/>
      <c r="U51" s="58">
        <f>I51/($I$14+$I$94)</f>
        <v/>
      </c>
    </row>
    <row r="52">
      <c r="A52">
        <f>"Imports from " &amp; [1]Int._Alum_Imports_2019!B38</f>
        <v/>
      </c>
      <c r="B52" s="129" t="inlineStr">
        <is>
          <t>n.a.</t>
        </is>
      </c>
      <c r="D52" s="130" t="n"/>
      <c r="E52" s="129">
        <f>[1]Int._Alum_Imports_2019!C38/1000</f>
        <v/>
      </c>
      <c r="I52">
        <f>[1]Int._Alum_Imports_2019!H38/1000</f>
        <v/>
      </c>
      <c r="J52" s="130" t="inlineStr">
        <is>
          <t>n.a.</t>
        </is>
      </c>
      <c r="K52" s="131">
        <f>((I52-E52)/(2023-2019))/E52</f>
        <v/>
      </c>
      <c r="L52" t="inlineStr">
        <is>
          <t>n.a.</t>
        </is>
      </c>
      <c r="M52" s="132">
        <f>K52</f>
        <v/>
      </c>
      <c r="N52" s="133">
        <f>E52*M52</f>
        <v/>
      </c>
      <c r="O52" s="129" t="inlineStr">
        <is>
          <t>n.a.</t>
        </is>
      </c>
      <c r="P52">
        <f>IF(($N$14)&gt;0, IF(M52&gt;0,E52*M52,0),0 )</f>
        <v/>
      </c>
      <c r="Q52" s="57">
        <f>IFERROR(P52/(SUM($P$3:$P$13, $P$16:$P$93)),"n.a.")</f>
        <v/>
      </c>
      <c r="R52" s="129" t="n"/>
      <c r="T52" s="130" t="n"/>
      <c r="U52" s="58">
        <f>I52/($I$14+$I$94)</f>
        <v/>
      </c>
    </row>
    <row r="53">
      <c r="A53">
        <f>"Imports from " &amp; [1]Int._Alum_Imports_2019!B39</f>
        <v/>
      </c>
      <c r="B53" s="129" t="inlineStr">
        <is>
          <t>n.a.</t>
        </is>
      </c>
      <c r="D53" s="130" t="n"/>
      <c r="E53" s="129">
        <f>[1]Int._Alum_Imports_2019!C39/1000</f>
        <v/>
      </c>
      <c r="I53">
        <f>[1]Int._Alum_Imports_2019!H39/1000</f>
        <v/>
      </c>
      <c r="J53" s="130" t="inlineStr">
        <is>
          <t>n.a.</t>
        </is>
      </c>
      <c r="K53" s="131">
        <f>((I53-E53)/(2023-2019))/E53</f>
        <v/>
      </c>
      <c r="L53" t="inlineStr">
        <is>
          <t>n.a.</t>
        </is>
      </c>
      <c r="M53" s="132">
        <f>K53</f>
        <v/>
      </c>
      <c r="N53" s="133">
        <f>E53*M53</f>
        <v/>
      </c>
      <c r="O53" s="129" t="inlineStr">
        <is>
          <t>n.a.</t>
        </is>
      </c>
      <c r="P53">
        <f>IF(($N$14)&gt;0, IF(M53&gt;0,E53*M53,0),0 )</f>
        <v/>
      </c>
      <c r="Q53" s="57">
        <f>IFERROR(P53/(SUM($P$3:$P$13, $P$16:$P$93)),"n.a.")</f>
        <v/>
      </c>
      <c r="R53" s="129" t="n"/>
      <c r="T53" s="130" t="n"/>
      <c r="U53" s="58">
        <f>I53/($I$14+$I$94)</f>
        <v/>
      </c>
    </row>
    <row r="54">
      <c r="A54">
        <f>"Imports from " &amp; [1]Int._Alum_Imports_2019!B40</f>
        <v/>
      </c>
      <c r="B54" s="129" t="inlineStr">
        <is>
          <t>n.a.</t>
        </is>
      </c>
      <c r="D54" s="130" t="n"/>
      <c r="E54" s="129">
        <f>[1]Int._Alum_Imports_2019!C40/1000</f>
        <v/>
      </c>
      <c r="I54">
        <f>[1]Int._Alum_Imports_2019!H40/1000</f>
        <v/>
      </c>
      <c r="J54" s="130" t="inlineStr">
        <is>
          <t>n.a.</t>
        </is>
      </c>
      <c r="K54" s="131">
        <f>((I54-E54)/(2023-2019))/E54</f>
        <v/>
      </c>
      <c r="L54" t="inlineStr">
        <is>
          <t>n.a.</t>
        </is>
      </c>
      <c r="M54" s="132">
        <f>K54</f>
        <v/>
      </c>
      <c r="N54" s="133">
        <f>E54*M54</f>
        <v/>
      </c>
      <c r="O54" s="129" t="inlineStr">
        <is>
          <t>n.a.</t>
        </is>
      </c>
      <c r="P54">
        <f>IF(($N$14)&gt;0, IF(M54&gt;0,E54*M54,0),0 )</f>
        <v/>
      </c>
      <c r="Q54" s="57">
        <f>IFERROR(P54/(SUM($P$3:$P$13, $P$16:$P$93)),"n.a.")</f>
        <v/>
      </c>
      <c r="R54" s="129" t="n"/>
      <c r="T54" s="130" t="n"/>
      <c r="U54" s="58">
        <f>I54/($I$14+$I$94)</f>
        <v/>
      </c>
    </row>
    <row r="55">
      <c r="A55">
        <f>"Imports from " &amp; [1]Int._Alum_Imports_2019!B41</f>
        <v/>
      </c>
      <c r="B55" s="129" t="inlineStr">
        <is>
          <t>n.a.</t>
        </is>
      </c>
      <c r="D55" s="130" t="n"/>
      <c r="E55" s="129">
        <f>[1]Int._Alum_Imports_2019!C41/1000</f>
        <v/>
      </c>
      <c r="I55">
        <f>[1]Int._Alum_Imports_2019!H41/1000</f>
        <v/>
      </c>
      <c r="J55" s="130" t="inlineStr">
        <is>
          <t>n.a.</t>
        </is>
      </c>
      <c r="K55" s="131">
        <f>((I55-E55)/(2023-2019))/E55</f>
        <v/>
      </c>
      <c r="L55" t="inlineStr">
        <is>
          <t>n.a.</t>
        </is>
      </c>
      <c r="M55" s="132">
        <f>K55</f>
        <v/>
      </c>
      <c r="N55" s="133">
        <f>E55*M55</f>
        <v/>
      </c>
      <c r="O55" s="129" t="inlineStr">
        <is>
          <t>n.a.</t>
        </is>
      </c>
      <c r="P55">
        <f>IF(($N$14)&gt;0, IF(M55&gt;0,E55*M55,0),0 )</f>
        <v/>
      </c>
      <c r="Q55" s="57">
        <f>IFERROR(P55/(SUM($P$3:$P$13, $P$16:$P$93)),"n.a.")</f>
        <v/>
      </c>
      <c r="R55" s="129" t="n"/>
      <c r="T55" s="130" t="n"/>
      <c r="U55" s="58">
        <f>I55/($I$14+$I$94)</f>
        <v/>
      </c>
    </row>
    <row r="56" customFormat="1" s="138">
      <c r="A56" s="138">
        <f>"Imports from " &amp; [1]Int._Alum_Imports_2019!B42</f>
        <v/>
      </c>
      <c r="B56" s="139" t="inlineStr">
        <is>
          <t>n.a.</t>
        </is>
      </c>
      <c r="D56" s="140" t="n"/>
      <c r="E56" s="139">
        <f>[1]Int._Alum_Imports_2019!C42/1000</f>
        <v/>
      </c>
      <c r="I56" s="138">
        <f>[1]Int._Alum_Imports_2019!H42/1000</f>
        <v/>
      </c>
      <c r="J56" s="140" t="inlineStr">
        <is>
          <t>n.a.</t>
        </is>
      </c>
      <c r="K56" s="141" t="n">
        <v>0</v>
      </c>
      <c r="L56" s="138" t="inlineStr">
        <is>
          <t>n.a.</t>
        </is>
      </c>
      <c r="M56" s="142">
        <f>K56</f>
        <v/>
      </c>
      <c r="N56" s="143">
        <f>E56*M56</f>
        <v/>
      </c>
      <c r="O56" s="139" t="inlineStr">
        <is>
          <t>n.a.</t>
        </is>
      </c>
      <c r="P56">
        <f>IF(($N$14)&gt;0, IF(M56&gt;0,E56*M56,0),0 )</f>
        <v/>
      </c>
      <c r="Q56" s="57">
        <f>IFERROR(P56/(SUM($P$3:$P$13, $P$16:$P$93)),"n.a.")</f>
        <v/>
      </c>
      <c r="R56" s="139" t="n"/>
      <c r="T56" s="140" t="n"/>
      <c r="U56" s="144">
        <f>I56/($I$14+$I$94)</f>
        <v/>
      </c>
    </row>
    <row r="57">
      <c r="A57">
        <f>"Imports from " &amp; [1]Int._Alum_Imports_2019!B43</f>
        <v/>
      </c>
      <c r="B57" s="129" t="inlineStr">
        <is>
          <t>n.a.</t>
        </is>
      </c>
      <c r="D57" s="130" t="n"/>
      <c r="E57" s="129">
        <f>[1]Int._Alum_Imports_2019!C43/1000</f>
        <v/>
      </c>
      <c r="I57">
        <f>[1]Int._Alum_Imports_2019!H43/1000</f>
        <v/>
      </c>
      <c r="J57" s="130" t="inlineStr">
        <is>
          <t>n.a.</t>
        </is>
      </c>
      <c r="K57" s="131">
        <f>((I57-E57)/(2023-2019))/E57</f>
        <v/>
      </c>
      <c r="L57" t="inlineStr">
        <is>
          <t>n.a.</t>
        </is>
      </c>
      <c r="M57" s="132">
        <f>K57</f>
        <v/>
      </c>
      <c r="N57" s="133">
        <f>E57*M57</f>
        <v/>
      </c>
      <c r="O57" s="129" t="inlineStr">
        <is>
          <t>n.a.</t>
        </is>
      </c>
      <c r="P57">
        <f>IF(($N$14)&gt;0, IF(M57&gt;0,E57*M57,0),0 )</f>
        <v/>
      </c>
      <c r="Q57" s="57">
        <f>IFERROR(P57/(SUM($P$3:$P$13, $P$16:$P$93)),"n.a.")</f>
        <v/>
      </c>
      <c r="R57" s="129" t="n"/>
      <c r="T57" s="130" t="n"/>
      <c r="U57" s="58">
        <f>I57/($I$14+$I$94)</f>
        <v/>
      </c>
    </row>
    <row r="58" customFormat="1" s="138">
      <c r="A58" s="138">
        <f>"Imports from " &amp; [1]Int._Alum_Imports_2019!B44</f>
        <v/>
      </c>
      <c r="B58" s="139" t="inlineStr">
        <is>
          <t>n.a.</t>
        </is>
      </c>
      <c r="D58" s="140" t="n"/>
      <c r="E58" s="139">
        <f>[1]Int._Alum_Imports_2019!C44/1000</f>
        <v/>
      </c>
      <c r="I58" s="138">
        <f>[1]Int._Alum_Imports_2019!H44/1000</f>
        <v/>
      </c>
      <c r="J58" s="140" t="inlineStr">
        <is>
          <t>n.a.</t>
        </is>
      </c>
      <c r="K58" s="141" t="n">
        <v>0</v>
      </c>
      <c r="L58" s="138" t="inlineStr">
        <is>
          <t>n.a.</t>
        </is>
      </c>
      <c r="M58" s="142">
        <f>K58</f>
        <v/>
      </c>
      <c r="N58" s="143">
        <f>E58*M58</f>
        <v/>
      </c>
      <c r="O58" s="139" t="inlineStr">
        <is>
          <t>n.a.</t>
        </is>
      </c>
      <c r="P58">
        <f>IF(($N$14)&gt;0, IF(M58&gt;0,E58*M58,0),0 )</f>
        <v/>
      </c>
      <c r="Q58" s="57">
        <f>IFERROR(P58/(SUM($P$3:$P$13, $P$16:$P$93)),"n.a.")</f>
        <v/>
      </c>
      <c r="R58" s="139" t="n"/>
      <c r="T58" s="140" t="n"/>
      <c r="U58" s="144">
        <f>I58/($I$14+$I$94)</f>
        <v/>
      </c>
    </row>
    <row r="59">
      <c r="A59">
        <f>"Imports from " &amp; [1]Int._Alum_Imports_2019!B45</f>
        <v/>
      </c>
      <c r="B59" s="129" t="inlineStr">
        <is>
          <t>n.a.</t>
        </is>
      </c>
      <c r="D59" s="130" t="n"/>
      <c r="E59" s="129">
        <f>[1]Int._Alum_Imports_2019!C45/1000</f>
        <v/>
      </c>
      <c r="I59">
        <f>[1]Int._Alum_Imports_2019!H45/1000</f>
        <v/>
      </c>
      <c r="J59" s="130" t="inlineStr">
        <is>
          <t>n.a.</t>
        </is>
      </c>
      <c r="K59" s="131">
        <f>((I59-E59)/(2023-2019))/E59</f>
        <v/>
      </c>
      <c r="L59" t="inlineStr">
        <is>
          <t>n.a.</t>
        </is>
      </c>
      <c r="M59" s="132">
        <f>K59</f>
        <v/>
      </c>
      <c r="N59" s="133">
        <f>E59*M59</f>
        <v/>
      </c>
      <c r="O59" s="129" t="inlineStr">
        <is>
          <t>n.a.</t>
        </is>
      </c>
      <c r="P59">
        <f>IF(($N$14)&gt;0, IF(M59&gt;0,E59*M59,0),0 )</f>
        <v/>
      </c>
      <c r="Q59" s="57">
        <f>IFERROR(P59/(SUM($P$3:$P$13, $P$16:$P$93)),"n.a.")</f>
        <v/>
      </c>
      <c r="R59" s="129" t="n"/>
      <c r="T59" s="130" t="n"/>
      <c r="U59" s="58">
        <f>I59/($I$14+$I$94)</f>
        <v/>
      </c>
    </row>
    <row r="60">
      <c r="A60">
        <f>"Imports from " &amp; [1]Int._Alum_Imports_2019!B46</f>
        <v/>
      </c>
      <c r="B60" s="129" t="inlineStr">
        <is>
          <t>n.a.</t>
        </is>
      </c>
      <c r="D60" s="130" t="n"/>
      <c r="E60" s="134">
        <f>77.52/1000</f>
        <v/>
      </c>
      <c r="F60" s="135" t="n"/>
      <c r="G60" s="135" t="n"/>
      <c r="H60" s="135" t="n"/>
      <c r="I60">
        <f>[1]Int._Alum_Imports_2019!H46/1000</f>
        <v/>
      </c>
      <c r="J60" s="130" t="inlineStr">
        <is>
          <t>n.a.</t>
        </is>
      </c>
      <c r="K60" s="136">
        <f>((I60-E60)/(2023-2022))/E60</f>
        <v/>
      </c>
      <c r="L60" t="inlineStr">
        <is>
          <t>n.a.</t>
        </is>
      </c>
      <c r="M60" s="132">
        <f>K60</f>
        <v/>
      </c>
      <c r="N60" s="133">
        <f>E60*M60</f>
        <v/>
      </c>
      <c r="O60" s="129" t="inlineStr">
        <is>
          <t>n.a.</t>
        </is>
      </c>
      <c r="P60">
        <f>IF(($N$14)&gt;0, IF(M60&gt;0,E60*M60,0),0 )</f>
        <v/>
      </c>
      <c r="Q60" s="57">
        <f>IFERROR(P60/(SUM($P$3:$P$13, $P$16:$P$93)),"n.a.")</f>
        <v/>
      </c>
      <c r="R60" s="129" t="n"/>
      <c r="T60" s="130" t="n"/>
      <c r="U60" s="58">
        <f>I60/($I$14+$I$94)</f>
        <v/>
      </c>
    </row>
    <row r="61">
      <c r="A61">
        <f>"Imports from " &amp; [1]Int._Alum_Imports_2019!B47</f>
        <v/>
      </c>
      <c r="B61" s="129" t="inlineStr">
        <is>
          <t>n.a.</t>
        </is>
      </c>
      <c r="D61" s="130" t="n"/>
      <c r="E61" s="134">
        <f>9.87/1000</f>
        <v/>
      </c>
      <c r="F61" s="135" t="n"/>
      <c r="G61" s="135" t="n"/>
      <c r="H61" s="135" t="n"/>
      <c r="I61">
        <f>[1]Int._Alum_Imports_2019!H47/1000</f>
        <v/>
      </c>
      <c r="J61" s="130" t="inlineStr">
        <is>
          <t>n.a.</t>
        </is>
      </c>
      <c r="K61" s="136">
        <f>((I61-E61)/(2023-2022))/E61</f>
        <v/>
      </c>
      <c r="L61" t="inlineStr">
        <is>
          <t>n.a.</t>
        </is>
      </c>
      <c r="M61" s="132">
        <f>K61</f>
        <v/>
      </c>
      <c r="N61" s="133">
        <f>E61*M61</f>
        <v/>
      </c>
      <c r="O61" s="129" t="inlineStr">
        <is>
          <t>n.a.</t>
        </is>
      </c>
      <c r="P61">
        <f>IF(($N$14)&gt;0, IF(M61&gt;0,E61*M61,0),0 )</f>
        <v/>
      </c>
      <c r="Q61" s="57">
        <f>IFERROR(P61/(SUM($P$3:$P$13, $P$16:$P$93)),"n.a.")</f>
        <v/>
      </c>
      <c r="R61" s="129" t="n"/>
      <c r="T61" s="130" t="n"/>
      <c r="U61" s="58">
        <f>I61/($I$14+$I$94)</f>
        <v/>
      </c>
    </row>
    <row r="62">
      <c r="A62">
        <f>"Imports from " &amp; [1]Int._Alum_Imports_2019!B48</f>
        <v/>
      </c>
      <c r="B62" s="129" t="inlineStr">
        <is>
          <t>n.a.</t>
        </is>
      </c>
      <c r="D62" s="130" t="n"/>
      <c r="E62" s="129">
        <f>[1]Int._Alum_Imports_2019!C48/1000</f>
        <v/>
      </c>
      <c r="I62">
        <f>[1]Int._Alum_Imports_2019!H48/1000</f>
        <v/>
      </c>
      <c r="J62" s="130" t="inlineStr">
        <is>
          <t>n.a.</t>
        </is>
      </c>
      <c r="K62" s="131">
        <f>((I62-E62)/(2023-2019))/E62</f>
        <v/>
      </c>
      <c r="L62" t="inlineStr">
        <is>
          <t>n.a.</t>
        </is>
      </c>
      <c r="M62" s="132">
        <f>K62</f>
        <v/>
      </c>
      <c r="N62" s="133">
        <f>E62*M62</f>
        <v/>
      </c>
      <c r="O62" s="129" t="inlineStr">
        <is>
          <t>n.a.</t>
        </is>
      </c>
      <c r="P62">
        <f>IF(($N$14)&gt;0, IF(M62&gt;0,E62*M62,0),0 )</f>
        <v/>
      </c>
      <c r="Q62" s="57">
        <f>IFERROR(P62/(SUM($P$3:$P$13, $P$16:$P$93)),"n.a.")</f>
        <v/>
      </c>
      <c r="R62" s="129" t="n"/>
      <c r="T62" s="130" t="n"/>
      <c r="U62" s="58">
        <f>I62/($I$14+$I$94)</f>
        <v/>
      </c>
    </row>
    <row r="63">
      <c r="A63">
        <f>"Imports from " &amp; [1]Int._Alum_Imports_2019!B49</f>
        <v/>
      </c>
      <c r="B63" s="129" t="inlineStr">
        <is>
          <t>n.a.</t>
        </is>
      </c>
      <c r="D63" s="130" t="n"/>
      <c r="E63" s="129">
        <f>[1]Int._Alum_Imports_2019!C49/1000</f>
        <v/>
      </c>
      <c r="I63">
        <f>[1]Int._Alum_Imports_2019!H49/1000</f>
        <v/>
      </c>
      <c r="J63" s="130" t="inlineStr">
        <is>
          <t>n.a.</t>
        </is>
      </c>
      <c r="K63" s="131">
        <f>((I63-E63)/(2023-2019))/E63</f>
        <v/>
      </c>
      <c r="L63" t="inlineStr">
        <is>
          <t>n.a.</t>
        </is>
      </c>
      <c r="M63" s="132">
        <f>K63</f>
        <v/>
      </c>
      <c r="N63" s="133">
        <f>E63*M63</f>
        <v/>
      </c>
      <c r="O63" s="129" t="inlineStr">
        <is>
          <t>n.a.</t>
        </is>
      </c>
      <c r="P63">
        <f>IF(($N$14)&gt;0, IF(M63&gt;0,E63*M63,0),0 )</f>
        <v/>
      </c>
      <c r="Q63" s="57">
        <f>IFERROR(P63/(SUM($P$3:$P$13, $P$16:$P$93)),"n.a.")</f>
        <v/>
      </c>
      <c r="R63" s="129" t="n"/>
      <c r="T63" s="130" t="n"/>
      <c r="U63" s="58">
        <f>I63/($I$14+$I$94)</f>
        <v/>
      </c>
    </row>
    <row r="64">
      <c r="A64">
        <f>"Imports from " &amp; [1]Int._Alum_Imports_2019!B50</f>
        <v/>
      </c>
      <c r="B64" s="129" t="inlineStr">
        <is>
          <t>n.a.</t>
        </is>
      </c>
      <c r="D64" s="130" t="n"/>
      <c r="E64" s="129">
        <f>[1]Int._Alum_Imports_2019!C50/1000</f>
        <v/>
      </c>
      <c r="I64">
        <f>[1]Int._Alum_Imports_2019!H50/1000</f>
        <v/>
      </c>
      <c r="J64" s="130" t="inlineStr">
        <is>
          <t>n.a.</t>
        </is>
      </c>
      <c r="K64" s="131">
        <f>((I64-E64)/(2023-2019))/E64</f>
        <v/>
      </c>
      <c r="L64" t="inlineStr">
        <is>
          <t>n.a.</t>
        </is>
      </c>
      <c r="M64" s="132">
        <f>K64</f>
        <v/>
      </c>
      <c r="N64" s="133">
        <f>E64*M64</f>
        <v/>
      </c>
      <c r="O64" s="129" t="inlineStr">
        <is>
          <t>n.a.</t>
        </is>
      </c>
      <c r="P64">
        <f>IF(($N$14)&gt;0, IF(M64&gt;0,E64*M64,0),0 )</f>
        <v/>
      </c>
      <c r="Q64" s="57">
        <f>IFERROR(P64/(SUM($P$3:$P$13, $P$16:$P$93)),"n.a.")</f>
        <v/>
      </c>
      <c r="R64" s="129" t="n"/>
      <c r="T64" s="130" t="n"/>
      <c r="U64" s="58">
        <f>I64/($I$14+$I$94)</f>
        <v/>
      </c>
    </row>
    <row r="65">
      <c r="A65">
        <f>"Imports from " &amp; [1]Int._Alum_Imports_2019!B51</f>
        <v/>
      </c>
      <c r="B65" s="129" t="inlineStr">
        <is>
          <t>n.a.</t>
        </is>
      </c>
      <c r="D65" s="130" t="n"/>
      <c r="E65" s="129">
        <f>[1]Int._Alum_Imports_2019!C51/1000</f>
        <v/>
      </c>
      <c r="I65">
        <f>[1]Int._Alum_Imports_2019!H51/1000</f>
        <v/>
      </c>
      <c r="J65" s="130" t="inlineStr">
        <is>
          <t>n.a.</t>
        </is>
      </c>
      <c r="K65" s="131">
        <f>((I65-E65)/(2023-2019))/E65</f>
        <v/>
      </c>
      <c r="L65" t="inlineStr">
        <is>
          <t>n.a.</t>
        </is>
      </c>
      <c r="M65" s="132">
        <f>K65</f>
        <v/>
      </c>
      <c r="N65" s="133">
        <f>E65*M65</f>
        <v/>
      </c>
      <c r="O65" s="129" t="inlineStr">
        <is>
          <t>n.a.</t>
        </is>
      </c>
      <c r="P65">
        <f>IF(($N$14)&gt;0, IF(M65&gt;0,E65*M65,0),0 )</f>
        <v/>
      </c>
      <c r="Q65" s="57">
        <f>IFERROR(P65/(SUM($P$3:$P$13, $P$16:$P$93)),"n.a.")</f>
        <v/>
      </c>
      <c r="R65" s="129" t="n"/>
      <c r="T65" s="130" t="n"/>
      <c r="U65" s="58">
        <f>I65/($I$14+$I$94)</f>
        <v/>
      </c>
    </row>
    <row r="66">
      <c r="A66">
        <f>"Imports from " &amp; [1]Int._Alum_Imports_2019!B52</f>
        <v/>
      </c>
      <c r="B66" s="129" t="inlineStr">
        <is>
          <t>n.a.</t>
        </is>
      </c>
      <c r="D66" s="130" t="n"/>
      <c r="E66" s="129">
        <f>[1]Int._Alum_Imports_2019!C52/1000</f>
        <v/>
      </c>
      <c r="I66">
        <f>[1]Int._Alum_Imports_2019!H52/1000</f>
        <v/>
      </c>
      <c r="J66" s="130" t="inlineStr">
        <is>
          <t>n.a.</t>
        </is>
      </c>
      <c r="K66" s="131">
        <f>((I66-E66)/(2023-2019))/E66</f>
        <v/>
      </c>
      <c r="L66" t="inlineStr">
        <is>
          <t>n.a.</t>
        </is>
      </c>
      <c r="M66" s="132">
        <f>K66</f>
        <v/>
      </c>
      <c r="N66" s="133">
        <f>E66*M66</f>
        <v/>
      </c>
      <c r="O66" s="129" t="inlineStr">
        <is>
          <t>n.a.</t>
        </is>
      </c>
      <c r="P66">
        <f>IF(($N$14)&gt;0, IF(M66&gt;0,E66*M66,0),0 )</f>
        <v/>
      </c>
      <c r="Q66" s="57">
        <f>IFERROR(P66/(SUM($P$3:$P$13, $P$16:$P$93)),"n.a.")</f>
        <v/>
      </c>
      <c r="R66" s="129" t="n"/>
      <c r="T66" s="130" t="n"/>
      <c r="U66" s="58">
        <f>I66/($I$14+$I$94)</f>
        <v/>
      </c>
    </row>
    <row r="67">
      <c r="A67">
        <f>"Imports from " &amp; [1]Int._Alum_Imports_2019!B53</f>
        <v/>
      </c>
      <c r="B67" s="129" t="inlineStr">
        <is>
          <t>n.a.</t>
        </is>
      </c>
      <c r="D67" s="130" t="n"/>
      <c r="E67" s="129">
        <f>[1]Int._Alum_Imports_2019!C53/1000</f>
        <v/>
      </c>
      <c r="I67">
        <f>[1]Int._Alum_Imports_2019!H53/1000</f>
        <v/>
      </c>
      <c r="J67" s="130" t="inlineStr">
        <is>
          <t>n.a.</t>
        </is>
      </c>
      <c r="K67" s="131">
        <f>((I67-E67)/(2023-2019))/E67</f>
        <v/>
      </c>
      <c r="L67" t="inlineStr">
        <is>
          <t>n.a.</t>
        </is>
      </c>
      <c r="M67" s="132">
        <f>K67</f>
        <v/>
      </c>
      <c r="N67" s="133">
        <f>E67*M67</f>
        <v/>
      </c>
      <c r="O67" s="129" t="inlineStr">
        <is>
          <t>n.a.</t>
        </is>
      </c>
      <c r="P67">
        <f>IF(($N$14)&gt;0, IF(M67&gt;0,E67*M67,0),0 )</f>
        <v/>
      </c>
      <c r="Q67" s="57">
        <f>IFERROR(P67/(SUM($P$3:$P$13, $P$16:$P$93)),"n.a.")</f>
        <v/>
      </c>
      <c r="R67" s="129" t="n"/>
      <c r="T67" s="130" t="n"/>
      <c r="U67" s="58">
        <f>I67/($I$14+$I$94)</f>
        <v/>
      </c>
    </row>
    <row r="68">
      <c r="A68">
        <f>"Imports from " &amp; [1]Int._Alum_Imports_2019!B54</f>
        <v/>
      </c>
      <c r="B68" s="129" t="inlineStr">
        <is>
          <t>n.a.</t>
        </is>
      </c>
      <c r="D68" s="130" t="n"/>
      <c r="E68" s="134">
        <f>0.92/1000</f>
        <v/>
      </c>
      <c r="F68" s="135" t="n"/>
      <c r="G68" s="135" t="n"/>
      <c r="H68" s="135" t="n"/>
      <c r="I68">
        <f>[1]Int._Alum_Imports_2019!H54/1000</f>
        <v/>
      </c>
      <c r="J68" s="130" t="inlineStr">
        <is>
          <t>n.a.</t>
        </is>
      </c>
      <c r="K68" s="136">
        <f>((I68-E68)/(2023-2022))/E68</f>
        <v/>
      </c>
      <c r="L68" t="inlineStr">
        <is>
          <t>n.a.</t>
        </is>
      </c>
      <c r="M68" s="132">
        <f>K68</f>
        <v/>
      </c>
      <c r="N68" s="133">
        <f>E68*M68</f>
        <v/>
      </c>
      <c r="O68" s="129" t="inlineStr">
        <is>
          <t>n.a.</t>
        </is>
      </c>
      <c r="P68">
        <f>IF(($N$14)&gt;0, IF(M68&gt;0,E68*M68,0),0 )</f>
        <v/>
      </c>
      <c r="Q68" s="57">
        <f>IFERROR(P68/(SUM($P$3:$P$13, $P$16:$P$93)),"n.a.")</f>
        <v/>
      </c>
      <c r="R68" s="129" t="n"/>
      <c r="T68" s="130" t="n"/>
      <c r="U68" s="58">
        <f>I68/($I$14+$I$94)</f>
        <v/>
      </c>
    </row>
    <row r="69">
      <c r="A69">
        <f>"Imports from " &amp; [1]Int._Alum_Imports_2019!B55</f>
        <v/>
      </c>
      <c r="B69" s="129" t="inlineStr">
        <is>
          <t>n.a.</t>
        </is>
      </c>
      <c r="D69" s="130" t="n"/>
      <c r="E69" s="129">
        <f>[1]Int._Alum_Imports_2019!C55/1000</f>
        <v/>
      </c>
      <c r="I69">
        <f>[1]Int._Alum_Imports_2019!H55/1000</f>
        <v/>
      </c>
      <c r="J69" s="130" t="inlineStr">
        <is>
          <t>n.a.</t>
        </is>
      </c>
      <c r="K69" s="131">
        <f>((I69-E69)/(2023-2019))/E69</f>
        <v/>
      </c>
      <c r="L69" t="inlineStr">
        <is>
          <t>n.a.</t>
        </is>
      </c>
      <c r="M69" s="132">
        <f>K69</f>
        <v/>
      </c>
      <c r="N69" s="133">
        <f>E69*M69</f>
        <v/>
      </c>
      <c r="O69" s="129" t="inlineStr">
        <is>
          <t>n.a.</t>
        </is>
      </c>
      <c r="P69">
        <f>IF(($N$14)&gt;0, IF(M69&gt;0,E69*M69,0),0 )</f>
        <v/>
      </c>
      <c r="Q69" s="57">
        <f>IFERROR(P69/(SUM($P$3:$P$13, $P$16:$P$93)),"n.a.")</f>
        <v/>
      </c>
      <c r="R69" s="129" t="n"/>
      <c r="T69" s="130" t="n"/>
      <c r="U69" s="58">
        <f>I69/($I$14+$I$94)</f>
        <v/>
      </c>
    </row>
    <row r="70">
      <c r="A70">
        <f>"Imports from " &amp; [1]Int._Alum_Imports_2019!B56</f>
        <v/>
      </c>
      <c r="B70" s="129" t="inlineStr">
        <is>
          <t>n.a.</t>
        </is>
      </c>
      <c r="D70" s="130" t="n"/>
      <c r="E70" s="129">
        <f>[1]Int._Alum_Imports_2019!C56/1000</f>
        <v/>
      </c>
      <c r="I70">
        <f>[1]Int._Alum_Imports_2019!H56/1000</f>
        <v/>
      </c>
      <c r="J70" s="130" t="inlineStr">
        <is>
          <t>n.a.</t>
        </is>
      </c>
      <c r="K70" s="131">
        <f>((I70-E70)/(2023-2019))/E70</f>
        <v/>
      </c>
      <c r="L70" t="inlineStr">
        <is>
          <t>n.a.</t>
        </is>
      </c>
      <c r="M70" s="132">
        <f>K70</f>
        <v/>
      </c>
      <c r="N70" s="133">
        <f>E70*M70</f>
        <v/>
      </c>
      <c r="O70" s="129" t="inlineStr">
        <is>
          <t>n.a.</t>
        </is>
      </c>
      <c r="P70">
        <f>IF(($N$14)&gt;0, IF(M70&gt;0,E70*M70,0),0 )</f>
        <v/>
      </c>
      <c r="Q70" s="57">
        <f>IFERROR(P70/(SUM($P$3:$P$13, $P$16:$P$93)),"n.a.")</f>
        <v/>
      </c>
      <c r="R70" s="129" t="n"/>
      <c r="T70" s="130" t="n"/>
      <c r="U70" s="58">
        <f>I70/($I$14+$I$94)</f>
        <v/>
      </c>
    </row>
    <row r="71" customFormat="1" s="138">
      <c r="A71" s="138">
        <f>"Imports from " &amp; [1]Int._Alum_Imports_2019!B57</f>
        <v/>
      </c>
      <c r="B71" s="139" t="inlineStr">
        <is>
          <t>n.a.</t>
        </is>
      </c>
      <c r="D71" s="140" t="n"/>
      <c r="E71" s="139">
        <f>[1]Int._Alum_Imports_2019!C57/1000</f>
        <v/>
      </c>
      <c r="I71" s="138">
        <f>[1]Int._Alum_Imports_2019!H57/1000</f>
        <v/>
      </c>
      <c r="J71" s="140" t="inlineStr">
        <is>
          <t>n.a.</t>
        </is>
      </c>
      <c r="K71" s="141" t="n">
        <v>0</v>
      </c>
      <c r="L71" s="138" t="inlineStr">
        <is>
          <t>n.a.</t>
        </is>
      </c>
      <c r="M71" s="142">
        <f>K71</f>
        <v/>
      </c>
      <c r="N71" s="143">
        <f>E71*M71</f>
        <v/>
      </c>
      <c r="O71" s="139" t="inlineStr">
        <is>
          <t>n.a.</t>
        </is>
      </c>
      <c r="P71">
        <f>IF(($N$14)&gt;0, IF(M71&gt;0,E71*M71,0),0 )</f>
        <v/>
      </c>
      <c r="Q71" s="57">
        <f>IFERROR(P71/(SUM($P$3:$P$13, $P$16:$P$93)),"n.a.")</f>
        <v/>
      </c>
      <c r="R71" s="139" t="n"/>
      <c r="T71" s="140" t="n"/>
      <c r="U71" s="144">
        <f>I71/($I$14+$I$94)</f>
        <v/>
      </c>
    </row>
    <row r="72">
      <c r="A72">
        <f>"Imports from " &amp; [1]Int._Alum_Imports_2019!B58</f>
        <v/>
      </c>
      <c r="B72" s="129" t="inlineStr">
        <is>
          <t>n.a.</t>
        </is>
      </c>
      <c r="D72" s="130" t="n"/>
      <c r="E72" s="129">
        <f>[1]Int._Alum_Imports_2019!C58/1000</f>
        <v/>
      </c>
      <c r="I72">
        <f>[1]Int._Alum_Imports_2019!H58/1000</f>
        <v/>
      </c>
      <c r="J72" s="130" t="inlineStr">
        <is>
          <t>n.a.</t>
        </is>
      </c>
      <c r="K72" s="131">
        <f>((I72-E72)/(2023-2019))/E72</f>
        <v/>
      </c>
      <c r="L72" t="inlineStr">
        <is>
          <t>n.a.</t>
        </is>
      </c>
      <c r="M72" s="132">
        <f>K72</f>
        <v/>
      </c>
      <c r="N72" s="133">
        <f>E72*M72</f>
        <v/>
      </c>
      <c r="O72" s="129" t="inlineStr">
        <is>
          <t>n.a.</t>
        </is>
      </c>
      <c r="P72">
        <f>IF(($N$14)&gt;0, IF(M72&gt;0,E72*M72,0),0 )</f>
        <v/>
      </c>
      <c r="Q72" s="57">
        <f>IFERROR(P72/(SUM($P$3:$P$13, $P$16:$P$93)),"n.a.")</f>
        <v/>
      </c>
      <c r="R72" s="129" t="n"/>
      <c r="T72" s="130" t="n"/>
      <c r="U72" s="58">
        <f>I72/($I$14+$I$94)</f>
        <v/>
      </c>
    </row>
    <row r="73">
      <c r="A73">
        <f>"Imports from " &amp; [1]Int._Alum_Imports_2019!B59</f>
        <v/>
      </c>
      <c r="B73" s="129" t="inlineStr">
        <is>
          <t>n.a.</t>
        </is>
      </c>
      <c r="D73" s="130" t="n"/>
      <c r="E73" s="129">
        <f>[1]Int._Alum_Imports_2019!C59/1000</f>
        <v/>
      </c>
      <c r="I73">
        <f>[1]Int._Alum_Imports_2019!H59/1000</f>
        <v/>
      </c>
      <c r="J73" s="130" t="inlineStr">
        <is>
          <t>n.a.</t>
        </is>
      </c>
      <c r="K73" s="131">
        <f>((I73-E73)/(2023-2019))/E73</f>
        <v/>
      </c>
      <c r="L73" t="inlineStr">
        <is>
          <t>n.a.</t>
        </is>
      </c>
      <c r="M73" s="132">
        <f>K73</f>
        <v/>
      </c>
      <c r="N73" s="133">
        <f>E73*M73</f>
        <v/>
      </c>
      <c r="O73" s="129" t="inlineStr">
        <is>
          <t>n.a.</t>
        </is>
      </c>
      <c r="P73">
        <f>IF(($N$14)&gt;0, IF(M73&gt;0,E73*M73,0),0 )</f>
        <v/>
      </c>
      <c r="Q73" s="57">
        <f>IFERROR(P73/(SUM($P$3:$P$13, $P$16:$P$93)),"n.a.")</f>
        <v/>
      </c>
      <c r="R73" s="129" t="n"/>
      <c r="T73" s="130" t="n"/>
      <c r="U73" s="58">
        <f>I73/($I$14+$I$94)</f>
        <v/>
      </c>
    </row>
    <row r="74">
      <c r="A74">
        <f>"Imports from " &amp; [1]Int._Alum_Imports_2019!B60</f>
        <v/>
      </c>
      <c r="B74" s="129" t="inlineStr">
        <is>
          <t>n.a.</t>
        </is>
      </c>
      <c r="D74" s="130" t="n"/>
      <c r="E74" s="129">
        <f>[1]Int._Alum_Imports_2019!C60/1000</f>
        <v/>
      </c>
      <c r="I74">
        <f>[1]Int._Alum_Imports_2019!H60/1000</f>
        <v/>
      </c>
      <c r="J74" s="130" t="inlineStr">
        <is>
          <t>n.a.</t>
        </is>
      </c>
      <c r="K74" s="131">
        <f>((I74-E74)/(2023-2019))/E74</f>
        <v/>
      </c>
      <c r="L74" t="inlineStr">
        <is>
          <t>n.a.</t>
        </is>
      </c>
      <c r="M74" s="132">
        <f>K74</f>
        <v/>
      </c>
      <c r="N74" s="133">
        <f>E74*M74</f>
        <v/>
      </c>
      <c r="O74" s="129" t="inlineStr">
        <is>
          <t>n.a.</t>
        </is>
      </c>
      <c r="P74">
        <f>IF(($N$14)&gt;0, IF(M74&gt;0,E74*M74,0),0 )</f>
        <v/>
      </c>
      <c r="Q74" s="57">
        <f>IFERROR(P74/(SUM($P$3:$P$13, $P$16:$P$93)),"n.a.")</f>
        <v/>
      </c>
      <c r="R74" s="129" t="n"/>
      <c r="T74" s="130" t="n"/>
      <c r="U74" s="58">
        <f>I74/($I$14+$I$94)</f>
        <v/>
      </c>
    </row>
    <row r="75">
      <c r="A75">
        <f>"Imports from " &amp; [1]Int._Alum_Imports_2019!B61</f>
        <v/>
      </c>
      <c r="B75" s="129" t="inlineStr">
        <is>
          <t>n.a.</t>
        </is>
      </c>
      <c r="D75" s="130" t="n"/>
      <c r="E75" s="129">
        <f>[1]Int._Alum_Imports_2019!C61/1000</f>
        <v/>
      </c>
      <c r="I75">
        <f>[1]Int._Alum_Imports_2019!H61/1000</f>
        <v/>
      </c>
      <c r="J75" s="130" t="inlineStr">
        <is>
          <t>n.a.</t>
        </is>
      </c>
      <c r="K75" s="131">
        <f>((I75-E75)/(2023-2019))/E75</f>
        <v/>
      </c>
      <c r="L75" t="inlineStr">
        <is>
          <t>n.a.</t>
        </is>
      </c>
      <c r="M75" s="132">
        <f>K75</f>
        <v/>
      </c>
      <c r="N75" s="133">
        <f>E75*M75</f>
        <v/>
      </c>
      <c r="O75" s="129" t="inlineStr">
        <is>
          <t>n.a.</t>
        </is>
      </c>
      <c r="P75">
        <f>IF(($N$14)&gt;0, IF(M75&gt;0,E75*M75,0),0 )</f>
        <v/>
      </c>
      <c r="Q75" s="137">
        <f>IFERROR(P75/(SUM($P$3:$P$13, $P$16:$P$93)),"n.a.")</f>
        <v/>
      </c>
      <c r="R75" s="129" t="n"/>
      <c r="T75" s="130" t="n"/>
      <c r="U75" s="58">
        <f>I75/($I$14+$I$94)</f>
        <v/>
      </c>
    </row>
    <row r="76">
      <c r="A76">
        <f>"Imports from " &amp; [1]Int._Alum_Imports_2019!B62</f>
        <v/>
      </c>
      <c r="B76" s="129" t="inlineStr">
        <is>
          <t>n.a.</t>
        </is>
      </c>
      <c r="D76" s="130" t="n"/>
      <c r="E76" s="129">
        <f>[1]Int._Alum_Imports_2019!C62/1000</f>
        <v/>
      </c>
      <c r="I76">
        <f>[1]Int._Alum_Imports_2019!H62/1000</f>
        <v/>
      </c>
      <c r="J76" s="130" t="inlineStr">
        <is>
          <t>n.a.</t>
        </is>
      </c>
      <c r="K76" s="131">
        <f>((I76-E76)/(2023-2019))/E76</f>
        <v/>
      </c>
      <c r="L76" t="inlineStr">
        <is>
          <t>n.a.</t>
        </is>
      </c>
      <c r="M76" s="132">
        <f>K76</f>
        <v/>
      </c>
      <c r="N76" s="133">
        <f>E76*M76</f>
        <v/>
      </c>
      <c r="O76" s="129" t="inlineStr">
        <is>
          <t>n.a.</t>
        </is>
      </c>
      <c r="P76">
        <f>IF(($N$14)&gt;0, IF(M76&gt;0,E76*M76,0),0 )</f>
        <v/>
      </c>
      <c r="Q76" s="57">
        <f>IFERROR(P76/(SUM($P$3:$P$13, $P$16:$P$93)),"n.a.")</f>
        <v/>
      </c>
      <c r="R76" s="129" t="n"/>
      <c r="T76" s="130" t="n"/>
      <c r="U76" s="58">
        <f>I76/($I$14+$I$94)</f>
        <v/>
      </c>
    </row>
    <row r="77" customFormat="1" s="138">
      <c r="A77" s="138">
        <f>"Imports from " &amp; [1]Int._Alum_Imports_2019!B63</f>
        <v/>
      </c>
      <c r="B77" s="139" t="inlineStr">
        <is>
          <t>n.a.</t>
        </is>
      </c>
      <c r="D77" s="140" t="n"/>
      <c r="E77" s="139">
        <f>[1]Int._Alum_Imports_2019!C63/1000</f>
        <v/>
      </c>
      <c r="I77" s="138">
        <f>[1]Int._Alum_Imports_2019!H63/1000</f>
        <v/>
      </c>
      <c r="J77" s="140" t="inlineStr">
        <is>
          <t>n.a.</t>
        </is>
      </c>
      <c r="K77" s="141" t="n">
        <v>0</v>
      </c>
      <c r="L77" s="138" t="inlineStr">
        <is>
          <t>n.a.</t>
        </is>
      </c>
      <c r="M77" s="142">
        <f>K77</f>
        <v/>
      </c>
      <c r="N77" s="143">
        <f>E77*M77</f>
        <v/>
      </c>
      <c r="O77" s="139" t="inlineStr">
        <is>
          <t>n.a.</t>
        </is>
      </c>
      <c r="P77">
        <f>IF(($N$14)&gt;0, IF(M77&gt;0,E77*M77,0),0 )</f>
        <v/>
      </c>
      <c r="Q77" s="57">
        <f>IFERROR(P77/(SUM($P$3:$P$13, $P$16:$P$93)),"n.a.")</f>
        <v/>
      </c>
      <c r="R77" s="139" t="n"/>
      <c r="T77" s="140" t="n"/>
      <c r="U77" s="144">
        <f>I77/($I$14+$I$94)</f>
        <v/>
      </c>
    </row>
    <row r="78">
      <c r="A78">
        <f>"Imports from " &amp; [1]Int._Alum_Imports_2019!B64</f>
        <v/>
      </c>
      <c r="B78" s="129" t="inlineStr">
        <is>
          <t>n.a.</t>
        </is>
      </c>
      <c r="D78" s="130" t="n"/>
      <c r="E78" s="129">
        <f>[1]Int._Alum_Imports_2019!C64/1000</f>
        <v/>
      </c>
      <c r="I78">
        <f>[1]Int._Alum_Imports_2019!H64/1000</f>
        <v/>
      </c>
      <c r="J78" s="130" t="inlineStr">
        <is>
          <t>n.a.</t>
        </is>
      </c>
      <c r="K78" s="131">
        <f>((I78-E78)/(2023-2019))/E78</f>
        <v/>
      </c>
      <c r="L78" t="inlineStr">
        <is>
          <t>n.a.</t>
        </is>
      </c>
      <c r="M78" s="132">
        <f>K78</f>
        <v/>
      </c>
      <c r="N78" s="133">
        <f>E78*M78</f>
        <v/>
      </c>
      <c r="O78" s="129" t="inlineStr">
        <is>
          <t>n.a.</t>
        </is>
      </c>
      <c r="P78">
        <f>IF(($N$14)&gt;0, IF(M78&gt;0,E78*M78,0),0 )</f>
        <v/>
      </c>
      <c r="Q78" s="57">
        <f>IFERROR(P78/(SUM($P$3:$P$13, $P$16:$P$93)),"n.a.")</f>
        <v/>
      </c>
      <c r="R78" s="129" t="n"/>
      <c r="T78" s="130" t="n"/>
      <c r="U78" s="58">
        <f>I78/($I$14+$I$94)</f>
        <v/>
      </c>
    </row>
    <row r="79">
      <c r="A79">
        <f>"Imports from " &amp; [1]Int._Alum_Imports_2019!B65</f>
        <v/>
      </c>
      <c r="B79" s="129" t="inlineStr">
        <is>
          <t>n.a.</t>
        </is>
      </c>
      <c r="D79" s="130" t="n"/>
      <c r="E79" s="129">
        <f>[1]Int._Alum_Imports_2019!C65/1000</f>
        <v/>
      </c>
      <c r="I79">
        <f>[1]Int._Alum_Imports_2019!H65/1000</f>
        <v/>
      </c>
      <c r="J79" s="130" t="inlineStr">
        <is>
          <t>n.a.</t>
        </is>
      </c>
      <c r="K79" s="131">
        <f>((I79-E79)/(2023-2019))/E79</f>
        <v/>
      </c>
      <c r="L79" t="inlineStr">
        <is>
          <t>n.a.</t>
        </is>
      </c>
      <c r="M79" s="132">
        <f>K79</f>
        <v/>
      </c>
      <c r="N79" s="133">
        <f>E79*M79</f>
        <v/>
      </c>
      <c r="O79" s="129" t="inlineStr">
        <is>
          <t>n.a.</t>
        </is>
      </c>
      <c r="P79">
        <f>IF(($N$14)&gt;0, IF(M79&gt;0,E79*M79,0),0 )</f>
        <v/>
      </c>
      <c r="Q79" s="57">
        <f>IFERROR(P79/(SUM($P$3:$P$13, $P$16:$P$93)),"n.a.")</f>
        <v/>
      </c>
      <c r="R79" s="129" t="n"/>
      <c r="T79" s="130" t="n"/>
      <c r="U79" s="58">
        <f>I79/($I$14+$I$94)</f>
        <v/>
      </c>
    </row>
    <row r="80">
      <c r="A80">
        <f>"Imports from " &amp; [1]Int._Alum_Imports_2019!B66</f>
        <v/>
      </c>
      <c r="B80" s="129" t="inlineStr">
        <is>
          <t>n.a.</t>
        </is>
      </c>
      <c r="D80" s="130" t="n"/>
      <c r="E80" s="129">
        <f>[1]Int._Alum_Imports_2019!C66/1000</f>
        <v/>
      </c>
      <c r="I80">
        <f>[1]Int._Alum_Imports_2019!H66/1000</f>
        <v/>
      </c>
      <c r="J80" s="130" t="inlineStr">
        <is>
          <t>n.a.</t>
        </is>
      </c>
      <c r="K80" s="131">
        <f>((I80-E80)/(2023-2019))/E80</f>
        <v/>
      </c>
      <c r="L80" t="inlineStr">
        <is>
          <t>n.a.</t>
        </is>
      </c>
      <c r="M80" s="132">
        <f>K80</f>
        <v/>
      </c>
      <c r="N80" s="133">
        <f>E80*M80</f>
        <v/>
      </c>
      <c r="O80" s="129" t="inlineStr">
        <is>
          <t>n.a.</t>
        </is>
      </c>
      <c r="P80">
        <f>IF(($N$14)&gt;0, IF(M80&gt;0,E80*M80,0),0 )</f>
        <v/>
      </c>
      <c r="Q80" s="57">
        <f>IFERROR(P80/(SUM($P$3:$P$13, $P$16:$P$93)),"n.a.")</f>
        <v/>
      </c>
      <c r="R80" s="129" t="n"/>
      <c r="T80" s="130" t="n"/>
      <c r="U80" s="58">
        <f>I80/($I$14+$I$94)</f>
        <v/>
      </c>
    </row>
    <row r="81">
      <c r="A81">
        <f>"Imports from " &amp; [1]Int._Alum_Imports_2019!B67</f>
        <v/>
      </c>
      <c r="B81" s="129" t="inlineStr">
        <is>
          <t>n.a.</t>
        </is>
      </c>
      <c r="D81" s="130" t="n"/>
      <c r="E81" s="129">
        <f>[1]Int._Alum_Imports_2019!C67/1000</f>
        <v/>
      </c>
      <c r="I81">
        <f>[1]Int._Alum_Imports_2019!H67/1000</f>
        <v/>
      </c>
      <c r="J81" s="130" t="inlineStr">
        <is>
          <t>n.a.</t>
        </is>
      </c>
      <c r="K81" s="131">
        <f>((I81-E81)/(2023-2019))/E81</f>
        <v/>
      </c>
      <c r="L81" t="inlineStr">
        <is>
          <t>n.a.</t>
        </is>
      </c>
      <c r="M81" s="132">
        <f>K81</f>
        <v/>
      </c>
      <c r="N81" s="133">
        <f>E81*M81</f>
        <v/>
      </c>
      <c r="O81" s="129" t="inlineStr">
        <is>
          <t>n.a.</t>
        </is>
      </c>
      <c r="P81">
        <f>IF(($N$14)&gt;0,       IF(M81&gt;0,E81*M81,0),0 )</f>
        <v/>
      </c>
      <c r="Q81" s="57">
        <f>IFERROR(P81/(SUM($P$3:$P$13, $P$16:$P$93)),"n.a.")</f>
        <v/>
      </c>
      <c r="R81" s="129" t="n"/>
      <c r="T81" s="130" t="n"/>
      <c r="U81" s="58">
        <f>I81/($I$14+$I$94)</f>
        <v/>
      </c>
    </row>
    <row r="82">
      <c r="A82">
        <f>"Imports from " &amp; [1]Int._Alum_Imports_2019!B68</f>
        <v/>
      </c>
      <c r="B82" s="129" t="inlineStr">
        <is>
          <t>n.a.</t>
        </is>
      </c>
      <c r="D82" s="130" t="n"/>
      <c r="E82" s="129">
        <f>[1]Int._Alum_Imports_2019!C68/1000</f>
        <v/>
      </c>
      <c r="I82">
        <f>[1]Int._Alum_Imports_2019!H68/1000</f>
        <v/>
      </c>
      <c r="J82" s="130" t="inlineStr">
        <is>
          <t>n.a.</t>
        </is>
      </c>
      <c r="K82" s="131">
        <f>((I82-E82)/(2023-2019))/E82</f>
        <v/>
      </c>
      <c r="L82" t="inlineStr">
        <is>
          <t>n.a.</t>
        </is>
      </c>
      <c r="M82" s="132">
        <f>K82</f>
        <v/>
      </c>
      <c r="N82" s="133">
        <f>E82*M82</f>
        <v/>
      </c>
      <c r="O82" s="129" t="inlineStr">
        <is>
          <t>n.a.</t>
        </is>
      </c>
      <c r="P82">
        <f>IF(($N$14)&gt;0, IF(M82&gt;0,E82*M82,0),0 )</f>
        <v/>
      </c>
      <c r="Q82" s="57">
        <f>IFERROR(P82/(SUM($P$3:$P$13, $P$16:$P$93)),"n.a.")</f>
        <v/>
      </c>
      <c r="R82" s="129" t="n"/>
      <c r="T82" s="130" t="n"/>
      <c r="U82" s="58">
        <f>I82/($I$14+$I$94)</f>
        <v/>
      </c>
    </row>
    <row r="83">
      <c r="A83">
        <f>"Imports from " &amp; [1]Int._Alum_Imports_2019!B69</f>
        <v/>
      </c>
      <c r="B83" s="129" t="inlineStr">
        <is>
          <t>n.a.</t>
        </is>
      </c>
      <c r="D83" s="130" t="n"/>
      <c r="E83" s="129">
        <f>[1]Int._Alum_Imports_2019!C69/1000</f>
        <v/>
      </c>
      <c r="I83">
        <f>[1]Int._Alum_Imports_2019!H69/1000</f>
        <v/>
      </c>
      <c r="J83" s="130" t="inlineStr">
        <is>
          <t>n.a.</t>
        </is>
      </c>
      <c r="K83" s="131">
        <f>((I83-E83)/(2023-2019))/E83</f>
        <v/>
      </c>
      <c r="L83" t="inlineStr">
        <is>
          <t>n.a.</t>
        </is>
      </c>
      <c r="M83" s="132">
        <f>K83</f>
        <v/>
      </c>
      <c r="N83" s="133">
        <f>E83*M83</f>
        <v/>
      </c>
      <c r="O83" s="129" t="inlineStr">
        <is>
          <t>n.a.</t>
        </is>
      </c>
      <c r="P83">
        <f>IF(($N$14)&gt;0, IF(M83&gt;0,E83*M83,0),0 )</f>
        <v/>
      </c>
      <c r="Q83" s="57">
        <f>IFERROR(P83/(SUM($P$3:$P$13, $P$16:$P$93)),"n.a.")</f>
        <v/>
      </c>
      <c r="R83" s="129" t="n"/>
      <c r="T83" s="130" t="n"/>
      <c r="U83" s="58">
        <f>I83/($I$14+$I$94)</f>
        <v/>
      </c>
    </row>
    <row r="84">
      <c r="A84">
        <f>"Imports from " &amp; [1]Int._Alum_Imports_2019!B70</f>
        <v/>
      </c>
      <c r="B84" s="129" t="inlineStr">
        <is>
          <t>n.a.</t>
        </is>
      </c>
      <c r="D84" s="130" t="n"/>
      <c r="E84" s="129">
        <f>[1]Int._Alum_Imports_2019!C70/1000</f>
        <v/>
      </c>
      <c r="I84">
        <f>[1]Int._Alum_Imports_2019!H70/1000</f>
        <v/>
      </c>
      <c r="J84" s="130" t="inlineStr">
        <is>
          <t>n.a.</t>
        </is>
      </c>
      <c r="K84" s="131">
        <f>((I84-E84)/(2023-2019))/E84</f>
        <v/>
      </c>
      <c r="L84" t="inlineStr">
        <is>
          <t>n.a.</t>
        </is>
      </c>
      <c r="M84" s="132">
        <f>K84</f>
        <v/>
      </c>
      <c r="N84" s="133">
        <f>E84*M84</f>
        <v/>
      </c>
      <c r="O84" s="129" t="inlineStr">
        <is>
          <t>n.a.</t>
        </is>
      </c>
      <c r="P84">
        <f>IF(($N$14)&gt;0, IF(M84&gt;0,E84*M84,0),0 )</f>
        <v/>
      </c>
      <c r="Q84" s="57">
        <f>IFERROR(P84/(SUM($P$3:$P$13, $P$16:$P$93)),"n.a.")</f>
        <v/>
      </c>
      <c r="R84" s="129" t="n"/>
      <c r="T84" s="130" t="n"/>
      <c r="U84" s="58">
        <f>I84/($I$14+$I$94)</f>
        <v/>
      </c>
    </row>
    <row r="85">
      <c r="A85">
        <f>"Imports from " &amp; [1]Int._Alum_Imports_2019!B71</f>
        <v/>
      </c>
      <c r="B85" s="129" t="inlineStr">
        <is>
          <t>n.a.</t>
        </is>
      </c>
      <c r="D85" s="130" t="n"/>
      <c r="E85" s="129">
        <f>[1]Int._Alum_Imports_2019!C71/1000</f>
        <v/>
      </c>
      <c r="I85">
        <f>[1]Int._Alum_Imports_2019!H71/1000</f>
        <v/>
      </c>
      <c r="J85" s="130" t="inlineStr">
        <is>
          <t>n.a.</t>
        </is>
      </c>
      <c r="K85" s="131">
        <f>((I85-E85)/(2023-2019))/E85</f>
        <v/>
      </c>
      <c r="L85" t="inlineStr">
        <is>
          <t>n.a.</t>
        </is>
      </c>
      <c r="M85" s="132">
        <f>K85</f>
        <v/>
      </c>
      <c r="N85" s="133">
        <f>E85*M85</f>
        <v/>
      </c>
      <c r="O85" s="129" t="inlineStr">
        <is>
          <t>n.a.</t>
        </is>
      </c>
      <c r="P85">
        <f>IF(($N$14)&gt;0, IF(M85&gt;0,E85*M85,0),0 )</f>
        <v/>
      </c>
      <c r="Q85" s="57">
        <f>IFERROR(P85/(SUM($P$3:$P$13, $P$16:$P$93)),"n.a.")</f>
        <v/>
      </c>
      <c r="R85" s="129" t="n"/>
      <c r="T85" s="130" t="n"/>
      <c r="U85" s="58">
        <f>I85/($I$14+$I$94)</f>
        <v/>
      </c>
    </row>
    <row r="86" customFormat="1" s="138">
      <c r="A86" s="138">
        <f>"Imports from " &amp; [1]Int._Alum_Imports_2019!B72</f>
        <v/>
      </c>
      <c r="B86" s="139" t="inlineStr">
        <is>
          <t>n.a.</t>
        </is>
      </c>
      <c r="D86" s="140" t="n"/>
      <c r="E86" s="139">
        <f>[1]Int._Alum_Imports_2019!C72/1000</f>
        <v/>
      </c>
      <c r="I86" s="138">
        <f>[1]Int._Alum_Imports_2019!H72/1000</f>
        <v/>
      </c>
      <c r="J86" s="140" t="inlineStr">
        <is>
          <t>n.a.</t>
        </is>
      </c>
      <c r="K86" s="141" t="n">
        <v>0</v>
      </c>
      <c r="L86" s="138" t="inlineStr">
        <is>
          <t>n.a.</t>
        </is>
      </c>
      <c r="M86" s="142">
        <f>K86</f>
        <v/>
      </c>
      <c r="N86" s="143">
        <f>E86*M86</f>
        <v/>
      </c>
      <c r="O86" s="139" t="inlineStr">
        <is>
          <t>n.a.</t>
        </is>
      </c>
      <c r="P86">
        <f>IF(($N$14)&gt;0, IF(M86&gt;0,E86*M86,0),0 )</f>
        <v/>
      </c>
      <c r="Q86" s="57">
        <f>IFERROR(P86/(SUM($P$3:$P$13, $P$16:$P$93)),"n.a.")</f>
        <v/>
      </c>
      <c r="R86" s="139" t="n"/>
      <c r="T86" s="140" t="n"/>
      <c r="U86" s="144">
        <f>I86/($I$14+$I$94)</f>
        <v/>
      </c>
    </row>
    <row r="87">
      <c r="A87">
        <f>"Imports from " &amp; [1]Int._Alum_Imports_2019!B73</f>
        <v/>
      </c>
      <c r="B87" s="129" t="inlineStr">
        <is>
          <t>n.a.</t>
        </is>
      </c>
      <c r="D87" s="130" t="n"/>
      <c r="E87" s="129">
        <f>[1]Int._Alum_Imports_2019!C73/1000</f>
        <v/>
      </c>
      <c r="I87">
        <f>[1]Int._Alum_Imports_2019!H73/1000</f>
        <v/>
      </c>
      <c r="J87" s="130" t="inlineStr">
        <is>
          <t>n.a.</t>
        </is>
      </c>
      <c r="K87" s="131">
        <f>((I87-E87)/(2023-2019))/E87</f>
        <v/>
      </c>
      <c r="L87" t="inlineStr">
        <is>
          <t>n.a.</t>
        </is>
      </c>
      <c r="M87" s="132">
        <f>K87</f>
        <v/>
      </c>
      <c r="N87" s="133">
        <f>E87*M87</f>
        <v/>
      </c>
      <c r="O87" s="129" t="inlineStr">
        <is>
          <t>n.a.</t>
        </is>
      </c>
      <c r="P87">
        <f>IF(($N$14)&gt;0, IF(M87&gt;0,E87*M87,0),0 )</f>
        <v/>
      </c>
      <c r="Q87" s="137">
        <f>IFERROR(P87/(SUM($P$3:$P$13, $P$16:$P$93)),"n.a.")</f>
        <v/>
      </c>
      <c r="R87" s="129" t="n"/>
      <c r="T87" s="130" t="n"/>
      <c r="U87" s="58">
        <f>I87/($I$14+$I$94)</f>
        <v/>
      </c>
    </row>
    <row r="88">
      <c r="A88">
        <f>"Imports from " &amp; [1]Int._Alum_Imports_2019!B74</f>
        <v/>
      </c>
      <c r="B88" s="129" t="inlineStr">
        <is>
          <t>n.a.</t>
        </is>
      </c>
      <c r="D88" s="130" t="n"/>
      <c r="E88" s="129">
        <f>[1]Int._Alum_Imports_2019!C74/1000</f>
        <v/>
      </c>
      <c r="I88">
        <f>[1]Int._Alum_Imports_2019!H74/1000</f>
        <v/>
      </c>
      <c r="J88" s="130" t="inlineStr">
        <is>
          <t>n.a.</t>
        </is>
      </c>
      <c r="K88" s="131">
        <f>((I88-E88)/(2023-2019))/E88</f>
        <v/>
      </c>
      <c r="L88" t="inlineStr">
        <is>
          <t>n.a.</t>
        </is>
      </c>
      <c r="M88" s="132">
        <f>K88</f>
        <v/>
      </c>
      <c r="N88" s="133">
        <f>E88*M88</f>
        <v/>
      </c>
      <c r="O88" s="129" t="inlineStr">
        <is>
          <t>n.a.</t>
        </is>
      </c>
      <c r="P88">
        <f>IF(($N$14)&gt;0, IF(M88&gt;0,E88*M88,0),0 )</f>
        <v/>
      </c>
      <c r="Q88" s="57">
        <f>IFERROR(P88/(SUM($P$3:$P$13, $P$16:$P$93)),"n.a.")</f>
        <v/>
      </c>
      <c r="R88" s="129" t="n"/>
      <c r="T88" s="130" t="n"/>
      <c r="U88" s="58">
        <f>I88/($I$14+$I$94)</f>
        <v/>
      </c>
    </row>
    <row r="89">
      <c r="A89">
        <f>"Imports from " &amp; [1]Int._Alum_Imports_2019!B75</f>
        <v/>
      </c>
      <c r="B89" s="129" t="inlineStr">
        <is>
          <t>n.a.</t>
        </is>
      </c>
      <c r="D89" s="130" t="n"/>
      <c r="E89" s="129">
        <f>[1]Int._Alum_Imports_2019!C75/1000</f>
        <v/>
      </c>
      <c r="I89">
        <f>[1]Int._Alum_Imports_2019!H75/1000</f>
        <v/>
      </c>
      <c r="J89" s="130" t="inlineStr">
        <is>
          <t>n.a.</t>
        </is>
      </c>
      <c r="K89" s="131">
        <f>((I89-E89)/(2023-2019))/E89</f>
        <v/>
      </c>
      <c r="L89" t="inlineStr">
        <is>
          <t>n.a.</t>
        </is>
      </c>
      <c r="M89" s="132">
        <f>K89</f>
        <v/>
      </c>
      <c r="N89" s="133">
        <f>E89*M89</f>
        <v/>
      </c>
      <c r="O89" s="129" t="inlineStr">
        <is>
          <t>n.a.</t>
        </is>
      </c>
      <c r="P89">
        <f>IF(($N$14)&gt;0, IF(M89&gt;0,E89*M89,0),0 )</f>
        <v/>
      </c>
      <c r="Q89" s="57">
        <f>IFERROR(P89/(SUM($P$3:$P$13, $P$16:$P$93)),"n.a.")</f>
        <v/>
      </c>
      <c r="R89" s="129" t="n"/>
      <c r="T89" s="130" t="n"/>
      <c r="U89" s="58">
        <f>I89/($I$14+$I$94)</f>
        <v/>
      </c>
    </row>
    <row r="90">
      <c r="A90">
        <f>"Imports from " &amp; [1]Int._Alum_Imports_2019!B76</f>
        <v/>
      </c>
      <c r="B90" s="129" t="inlineStr">
        <is>
          <t>n.a.</t>
        </is>
      </c>
      <c r="D90" s="130" t="n"/>
      <c r="E90" s="129">
        <f>[1]Int._Alum_Imports_2019!C76/1000</f>
        <v/>
      </c>
      <c r="I90">
        <f>[1]Int._Alum_Imports_2019!H76/1000</f>
        <v/>
      </c>
      <c r="J90" s="130" t="inlineStr">
        <is>
          <t>n.a.</t>
        </is>
      </c>
      <c r="K90" s="131">
        <f>((I90-E90)/(2023-2019))/E90</f>
        <v/>
      </c>
      <c r="L90" t="inlineStr">
        <is>
          <t>n.a.</t>
        </is>
      </c>
      <c r="M90" s="132">
        <f>K90</f>
        <v/>
      </c>
      <c r="N90" s="133">
        <f>E90*M90</f>
        <v/>
      </c>
      <c r="O90" s="129" t="inlineStr">
        <is>
          <t>n.a.</t>
        </is>
      </c>
      <c r="P90">
        <f>IF(($N$14)&gt;0, IF(M90&gt;0,E90*M90,0),0 )</f>
        <v/>
      </c>
      <c r="Q90" s="137">
        <f>IFERROR(P90/(SUM($P$3:$P$13, $P$16:$P$93)),"n.a.")</f>
        <v/>
      </c>
      <c r="R90" s="129" t="n"/>
      <c r="T90" s="130" t="n"/>
      <c r="U90" s="58">
        <f>I90/($I$14+$I$94)</f>
        <v/>
      </c>
    </row>
    <row r="91">
      <c r="A91">
        <f>"Imports from " &amp; [1]Int._Alum_Imports_2019!B77</f>
        <v/>
      </c>
      <c r="B91" s="129" t="inlineStr">
        <is>
          <t>n.a.</t>
        </is>
      </c>
      <c r="D91" s="130" t="n"/>
      <c r="E91" s="129">
        <f>[1]Int._Alum_Imports_2019!C77/1000</f>
        <v/>
      </c>
      <c r="I91">
        <f>[1]Int._Alum_Imports_2019!H77/1000</f>
        <v/>
      </c>
      <c r="J91" s="130" t="inlineStr">
        <is>
          <t>n.a.</t>
        </is>
      </c>
      <c r="K91" s="131">
        <f>((I91-E91)/(2023-2019))/E91</f>
        <v/>
      </c>
      <c r="L91" t="inlineStr">
        <is>
          <t>n.a.</t>
        </is>
      </c>
      <c r="M91" s="132">
        <f>K91</f>
        <v/>
      </c>
      <c r="N91" s="133">
        <f>E91*M91</f>
        <v/>
      </c>
      <c r="O91" s="129" t="inlineStr">
        <is>
          <t>n.a.</t>
        </is>
      </c>
      <c r="P91">
        <f>IF(($N$14)&gt;0, IF(M91&gt;0,E91*M91,0),0 )</f>
        <v/>
      </c>
      <c r="Q91" s="57">
        <f>IFERROR(P91/(SUM($P$3:$P$13, $P$16:$P$93)),"n.a.")</f>
        <v/>
      </c>
      <c r="R91" s="129" t="n"/>
      <c r="T91" s="130" t="n"/>
      <c r="U91" s="58">
        <f>I91/($I$14+$I$94)</f>
        <v/>
      </c>
    </row>
    <row r="92">
      <c r="A92">
        <f>"Imports from " &amp; [1]Int._Alum_Imports_2019!B78</f>
        <v/>
      </c>
      <c r="B92" s="129" t="inlineStr">
        <is>
          <t>n.a.</t>
        </is>
      </c>
      <c r="D92" s="130" t="n"/>
      <c r="E92" s="129">
        <f>[1]Int._Alum_Imports_2019!C78/1000</f>
        <v/>
      </c>
      <c r="I92">
        <f>[1]Int._Alum_Imports_2019!H78/1000</f>
        <v/>
      </c>
      <c r="J92" s="130" t="inlineStr">
        <is>
          <t>n.a.</t>
        </is>
      </c>
      <c r="K92" s="131">
        <f>((I92-E92)/(2023-2019))/E92</f>
        <v/>
      </c>
      <c r="L92" t="inlineStr">
        <is>
          <t>n.a.</t>
        </is>
      </c>
      <c r="M92" s="132">
        <f>K92</f>
        <v/>
      </c>
      <c r="N92" s="133">
        <f>E92*M92</f>
        <v/>
      </c>
      <c r="O92" s="129" t="inlineStr">
        <is>
          <t>n.a.</t>
        </is>
      </c>
      <c r="P92">
        <f>IF(($N$14)&gt;0, IF(M92&gt;0,E92*M92,0),0 )</f>
        <v/>
      </c>
      <c r="Q92" s="137">
        <f>IFERROR(P92/(SUM($P$3:$P$13, $P$16:$P$93)),"n.a.")</f>
        <v/>
      </c>
      <c r="R92" s="129" t="n"/>
      <c r="T92" s="130" t="n"/>
      <c r="U92" s="58">
        <f>I92/($I$14+$I$94)</f>
        <v/>
      </c>
    </row>
    <row r="93" ht="15" customFormat="1" customHeight="1" s="145" thickBot="1">
      <c r="A93" s="145">
        <f>"Imports from " &amp; [1]Int._Alum_Imports_2019!B79</f>
        <v/>
      </c>
      <c r="B93" s="146" t="inlineStr">
        <is>
          <t>n.a.</t>
        </is>
      </c>
      <c r="C93" s="147" t="n"/>
      <c r="D93" s="148" t="n"/>
      <c r="E93" s="146">
        <f>[1]Int._Alum_Imports_2019!C79/1000</f>
        <v/>
      </c>
      <c r="F93" s="147" t="n"/>
      <c r="G93" s="147" t="n"/>
      <c r="H93" s="147" t="n"/>
      <c r="I93" s="147">
        <f>[1]Int._Alum_Imports_2019!H79/1000</f>
        <v/>
      </c>
      <c r="J93" s="148" t="inlineStr">
        <is>
          <t>n.a.</t>
        </is>
      </c>
      <c r="K93" s="149">
        <f>((I93-E93)/(2023-2019))/E93</f>
        <v/>
      </c>
      <c r="L93" s="147" t="inlineStr">
        <is>
          <t>n.a.</t>
        </is>
      </c>
      <c r="M93" s="150">
        <f>K93</f>
        <v/>
      </c>
      <c r="N93" s="151">
        <f>E93*M93</f>
        <v/>
      </c>
      <c r="O93" s="146" t="inlineStr">
        <is>
          <t>n.a.</t>
        </is>
      </c>
      <c r="P93" s="147">
        <f>IF(($N$14)&gt;0,       IF(M93&gt;0,E93*M93,0),0 )</f>
        <v/>
      </c>
      <c r="Q93" s="152">
        <f>IFERROR(P93/(SUM($P$3:$P$13, $P$16:$P$93)),"n.a.")</f>
        <v/>
      </c>
      <c r="R93" s="146" t="n"/>
      <c r="S93" s="147" t="n"/>
      <c r="T93" s="148" t="n"/>
      <c r="U93" s="58">
        <f>I93/($I$14+$I$94)</f>
        <v/>
      </c>
    </row>
    <row r="94">
      <c r="D94" s="22" t="inlineStr">
        <is>
          <t>Totals</t>
        </is>
      </c>
      <c r="E94" s="22">
        <f>SUM(E16:E93)</f>
        <v/>
      </c>
      <c r="F94" s="22" t="n"/>
      <c r="G94" s="22" t="n"/>
      <c r="H94" s="22" t="n"/>
      <c r="I94" s="22">
        <f>SUM(I16:I93)</f>
        <v/>
      </c>
      <c r="N94" s="153">
        <f>SUM(N16:N93)</f>
        <v/>
      </c>
      <c r="O94" s="61" t="n"/>
      <c r="P94" s="22" t="n"/>
      <c r="Q94" s="62">
        <f>SUM(Q16:Q93)</f>
        <v/>
      </c>
    </row>
    <row r="95">
      <c r="A95" s="22" t="n"/>
      <c r="D95" s="22" t="inlineStr">
        <is>
          <t>Relative %</t>
        </is>
      </c>
      <c r="E95" s="154">
        <f>E94/SUM(E94+E14)</f>
        <v/>
      </c>
      <c r="F95" s="154" t="n"/>
      <c r="G95" s="154" t="n"/>
      <c r="H95" s="154" t="n"/>
      <c r="I95" s="154">
        <f>I94/SUM(I94+I14)</f>
        <v/>
      </c>
      <c r="N95" s="22" t="n"/>
      <c r="O95" s="61" t="n"/>
      <c r="P95" s="22" t="n"/>
      <c r="Q95" s="62" t="n"/>
    </row>
    <row r="96">
      <c r="A96" s="22" t="n"/>
      <c r="N96" s="22" t="n"/>
      <c r="O96" s="61" t="n"/>
      <c r="P96" s="22" t="n"/>
      <c r="Q96" s="62" t="n"/>
    </row>
    <row r="97">
      <c r="A97" s="22" t="n"/>
      <c r="N97" s="22" t="n"/>
      <c r="O97" s="61" t="n"/>
      <c r="P97" s="22" t="n"/>
      <c r="Q97" s="62" t="n"/>
    </row>
    <row r="98">
      <c r="A98" s="155" t="inlineStr">
        <is>
          <t>legend:</t>
        </is>
      </c>
      <c r="B98" s="155" t="n"/>
      <c r="C98" s="155" t="n"/>
      <c r="D98" s="155" t="n"/>
    </row>
    <row r="99">
      <c r="A99" s="156" t="inlineStr">
        <is>
          <t>input</t>
        </is>
      </c>
      <c r="B99" s="156" t="n"/>
      <c r="C99" s="156" t="n"/>
      <c r="D99" s="156" t="n"/>
    </row>
    <row r="100">
      <c r="A100" s="157" t="inlineStr">
        <is>
          <t>output</t>
        </is>
      </c>
      <c r="B100" s="157" t="n"/>
      <c r="C100" s="157" t="n"/>
      <c r="D100" s="157" t="n"/>
    </row>
    <row r="102">
      <c r="A102" s="22" t="inlineStr">
        <is>
          <t>Sources:</t>
        </is>
      </c>
    </row>
    <row r="103">
      <c r="A103" s="64" t="inlineStr">
        <is>
          <t>https://aluminium.ca/en/the-industry/#:~:text=The%20Canadian%20primary%20aluminium%20industry,1%20plant%20in%20British%20Columbia).</t>
        </is>
      </c>
      <c r="N103" s="65" t="n"/>
      <c r="O103" s="61" t="n"/>
      <c r="P103" s="65" t="n"/>
    </row>
    <row r="104" ht="16" customHeight="1">
      <c r="A104" s="64" t="inlineStr">
        <is>
          <t>https://www.riotinto.com/-/media/Content/Documents/Products/Aluminium/RT-Aluminium-Delivering-responsible-future.pdf</t>
        </is>
      </c>
      <c r="B104" s="64" t="n"/>
      <c r="C104" s="24" t="n"/>
      <c r="D104" s="24" t="n"/>
      <c r="E104" s="24" t="n"/>
      <c r="F104" s="24" t="n"/>
      <c r="G104" s="24" t="n"/>
      <c r="H104" s="24" t="n"/>
      <c r="I104" s="24" t="n"/>
      <c r="J104" s="24" t="n"/>
      <c r="K104" s="24" t="n"/>
      <c r="L104" s="24" t="n"/>
      <c r="M104" s="24" t="n"/>
      <c r="N104" s="65" t="n"/>
      <c r="O104" s="61" t="n"/>
      <c r="P104" s="65" t="n"/>
    </row>
    <row r="105" ht="16" customHeight="1">
      <c r="A105" s="66" t="inlineStr">
        <is>
          <t>https://www.riotinto.com/en/news/releases/2023/rio-tinto-to-expand-its-ap60-low-carbon-aluminium-smelter-in-quebec</t>
        </is>
      </c>
      <c r="B105" s="66" t="n"/>
      <c r="D105" s="24" t="n"/>
      <c r="E105" s="24" t="n"/>
      <c r="F105" s="24" t="n"/>
      <c r="G105" s="24" t="n"/>
      <c r="H105" s="24" t="n"/>
      <c r="I105" s="24" t="n"/>
      <c r="J105" s="24" t="n"/>
      <c r="K105" s="24" t="n"/>
      <c r="L105" s="24" t="n"/>
      <c r="M105" s="24" t="n"/>
      <c r="N105" s="65" t="n"/>
      <c r="O105" s="61" t="n"/>
      <c r="P105" s="65" t="n"/>
    </row>
    <row r="106" ht="16" customHeight="1">
      <c r="A106" s="66" t="inlineStr">
        <is>
          <t>https://www.mining.com/web/global-aluminium-production-growth-brakes-sharply-2018/#:~:text=A%20union%20lock%2Dout%20has,up%201.25%20percent%20on%202017.</t>
        </is>
      </c>
      <c r="B106" s="66" t="n"/>
      <c r="C106" s="66" t="n"/>
      <c r="D106" s="24" t="n"/>
      <c r="E106" s="24" t="n"/>
      <c r="F106" s="24" t="n"/>
      <c r="G106" s="24" t="n"/>
      <c r="H106" s="24" t="n"/>
      <c r="I106" s="24" t="n"/>
      <c r="J106" s="24" t="n"/>
      <c r="K106" s="24" t="n"/>
      <c r="L106" s="24" t="n"/>
      <c r="M106" s="24" t="n"/>
      <c r="N106" s="65" t="n"/>
      <c r="O106" s="61" t="n"/>
      <c r="P106" s="65" t="n"/>
    </row>
    <row r="107" ht="16" customHeight="1">
      <c r="A107" s="66" t="inlineStr">
        <is>
          <t>https://www.riotinto.com/en/can/news/releases/2023/rio-tinto-to-expand-its-ap60-low-carbon-aluminium-smelter-in-quebec#:~:text=The%20AP60%20technology%20generates%20approximately,aluminium%20for%20the%20industry%20average.</t>
        </is>
      </c>
      <c r="B107" s="24" t="n"/>
      <c r="C107" s="24" t="n"/>
      <c r="D107" s="24" t="n"/>
      <c r="E107" s="24" t="n"/>
      <c r="F107" s="24" t="n"/>
      <c r="G107" s="24" t="n"/>
      <c r="H107" s="24" t="n"/>
      <c r="I107" s="24" t="n"/>
      <c r="J107" s="24" t="n"/>
      <c r="K107" s="24" t="n"/>
      <c r="L107" s="24" t="n"/>
      <c r="M107" s="24" t="n"/>
      <c r="N107" s="65" t="n"/>
      <c r="O107" s="61" t="n"/>
      <c r="P107" s="65" t="n"/>
    </row>
    <row r="108" ht="16" customHeight="1">
      <c r="A108" s="66" t="inlineStr">
        <is>
          <t>https://www.ap-technology.com/wp-content/uploads/2019/03/2070-AP_newsletter_Feb2012.pdf</t>
        </is>
      </c>
      <c r="B108" s="24" t="n"/>
      <c r="C108" s="24" t="n"/>
      <c r="D108" s="24" t="n"/>
      <c r="E108" s="24" t="n"/>
      <c r="F108" s="24" t="n"/>
      <c r="G108" s="24" t="n"/>
      <c r="H108" s="24" t="n"/>
      <c r="I108" s="24" t="n"/>
      <c r="J108" s="24" t="n"/>
      <c r="K108" s="24" t="n"/>
      <c r="L108" s="24" t="n"/>
      <c r="M108" s="24" t="n"/>
      <c r="N108" s="65" t="n"/>
      <c r="O108" s="61" t="n"/>
      <c r="P108" s="65" t="n"/>
    </row>
    <row r="109" ht="16" customHeight="1">
      <c r="A109" s="66" t="inlineStr">
        <is>
          <t>https://s29.q4cdn.com/945634774/files/doc_financials/2018/ar/annual-report-2018.pdf</t>
        </is>
      </c>
      <c r="B109" s="24" t="n"/>
      <c r="C109" s="24" t="n"/>
      <c r="D109" s="24" t="n"/>
      <c r="E109" s="24" t="n"/>
      <c r="F109" s="24" t="n"/>
      <c r="G109" s="24" t="n"/>
      <c r="H109" s="24" t="n"/>
      <c r="I109" s="24" t="n"/>
      <c r="J109" s="24" t="n"/>
      <c r="K109" s="24" t="n"/>
      <c r="L109" s="24" t="n"/>
      <c r="M109" s="24" t="n"/>
      <c r="N109" s="65" t="n"/>
      <c r="O109" s="61" t="n"/>
      <c r="P109" s="65" t="n"/>
    </row>
    <row r="110" ht="16" customHeight="1">
      <c r="A110" s="66" t="inlineStr">
        <is>
          <t>https://s29.q4cdn.com/945634774/files/doc_financials/2023/ar/alcoa-corp-2023-annual-report-final-bookmarked.pdf</t>
        </is>
      </c>
      <c r="B110" s="24" t="n"/>
      <c r="C110" s="24" t="n"/>
      <c r="D110" s="24" t="n"/>
      <c r="E110" s="24" t="n"/>
      <c r="F110" s="24" t="n"/>
      <c r="G110" s="24" t="n"/>
      <c r="H110" s="24" t="n"/>
      <c r="I110" s="24" t="n"/>
      <c r="J110" s="24" t="n"/>
      <c r="K110" s="24" t="n"/>
      <c r="L110" s="24" t="n"/>
      <c r="M110" s="24" t="n"/>
      <c r="N110" s="65" t="n"/>
      <c r="O110" s="61" t="n"/>
      <c r="P110" s="65" t="n"/>
    </row>
    <row r="111" ht="16" customHeight="1">
      <c r="A111" s="66" t="inlineStr">
        <is>
          <t>https://www.riotinto.com/en/news/releases/2021/elysis-selects-alma-smelter-for-commercial-size-450-ka-inert-anode-prototype-cells</t>
        </is>
      </c>
      <c r="B111" s="24" t="n"/>
      <c r="C111" s="24" t="n"/>
      <c r="D111" s="24" t="n"/>
      <c r="E111" s="24" t="n"/>
      <c r="F111" s="24" t="n"/>
      <c r="G111" s="24" t="n"/>
      <c r="H111" s="24" t="n"/>
      <c r="I111" s="24" t="n"/>
      <c r="J111" s="24" t="n"/>
      <c r="K111" s="24" t="n"/>
      <c r="L111" s="24" t="n"/>
      <c r="M111" s="24" t="n"/>
      <c r="N111" s="65" t="n"/>
      <c r="O111" s="61" t="n"/>
      <c r="P111" s="65" t="n"/>
    </row>
    <row r="112" ht="16" customHeight="1">
      <c r="A112" s="24" t="inlineStr">
        <is>
          <t>*The primary aluminium production route is the marginal aluminium production. In the future it may differ to the AP60.</t>
        </is>
      </c>
      <c r="B112" s="24" t="n"/>
      <c r="C112" s="24" t="n"/>
      <c r="D112" s="24" t="n"/>
      <c r="E112" s="24" t="n"/>
      <c r="F112" s="24" t="n"/>
      <c r="G112" s="24" t="n"/>
      <c r="H112" s="24" t="n"/>
      <c r="I112" s="24" t="n"/>
      <c r="J112" s="24" t="n"/>
      <c r="K112" s="24" t="n"/>
      <c r="L112" s="24" t="n"/>
      <c r="M112" s="24" t="n"/>
    </row>
    <row r="113" ht="16" customHeight="1">
      <c r="A113" s="66" t="n"/>
      <c r="B113" s="24" t="n"/>
      <c r="C113" s="24" t="n"/>
      <c r="D113" s="24" t="n"/>
      <c r="E113" s="24" t="n"/>
      <c r="F113" s="24" t="n"/>
      <c r="G113" s="24" t="n"/>
      <c r="H113" s="24" t="n"/>
      <c r="I113" s="24" t="n"/>
      <c r="J113" s="24" t="n"/>
      <c r="K113" s="24" t="n"/>
      <c r="L113" s="24" t="n"/>
      <c r="M113" s="24" t="n"/>
    </row>
    <row r="114" ht="16" customHeight="1">
      <c r="A114" s="66" t="n"/>
      <c r="B114" s="24" t="n"/>
      <c r="C114" s="24" t="n"/>
      <c r="D114" s="24" t="n"/>
      <c r="E114" s="24" t="n"/>
      <c r="F114" s="24" t="n"/>
      <c r="G114" s="24" t="n"/>
      <c r="H114" s="24" t="n"/>
      <c r="I114" s="24" t="n"/>
      <c r="J114" s="24" t="n"/>
      <c r="K114" s="24" t="n"/>
      <c r="L114" s="24" t="n"/>
      <c r="M114" s="24" t="n"/>
    </row>
    <row r="115" ht="16" customHeight="1">
      <c r="A115" s="66" t="n"/>
      <c r="B115" s="24" t="n"/>
      <c r="C115" s="24" t="n"/>
      <c r="D115" s="24" t="n"/>
      <c r="E115" s="24" t="n"/>
      <c r="F115" s="24" t="n"/>
      <c r="G115" s="24" t="n"/>
      <c r="H115" s="24" t="n"/>
      <c r="I115" s="24" t="n"/>
      <c r="J115" s="24" t="n"/>
      <c r="K115" s="24" t="n"/>
      <c r="L115" s="24" t="n"/>
      <c r="M115" s="24" t="n"/>
    </row>
  </sheetData>
  <conditionalFormatting sqref="O3:Q14">
    <cfRule type="expression" priority="2" dxfId="0">
      <formula>$N$14&lt;0</formula>
    </cfRule>
  </conditionalFormatting>
  <conditionalFormatting sqref="Q16:Q93">
    <cfRule type="expression" priority="1" dxfId="0">
      <formula>$N$14&lt;0</formula>
    </cfRule>
  </conditionalFormatting>
  <conditionalFormatting sqref="R3:T14">
    <cfRule type="expression" priority="3" dxfId="0">
      <formula>$N$14&gt;0</formula>
    </cfRule>
  </conditionalFormatting>
  <hyperlinks>
    <hyperlink xmlns:r="http://schemas.openxmlformats.org/officeDocument/2006/relationships" ref="A103" location=":~:text=The%20Canadian%20primary%20aluminium%20industry,1%20plant%20in%20British%20Columbia)." r:id="rId1"/>
    <hyperlink xmlns:r="http://schemas.openxmlformats.org/officeDocument/2006/relationships" ref="A104" r:id="rId2"/>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Marley Dowling</dc:creator>
  <dcterms:created xmlns:dcterms="http://purl.org/dc/terms/" xmlns:xsi="http://www.w3.org/2001/XMLSchema-instance" xsi:type="dcterms:W3CDTF">2026-01-09T16:35:43Z</dcterms:created>
  <dcterms:modified xmlns:dcterms="http://purl.org/dc/terms/" xmlns:xsi="http://www.w3.org/2001/XMLSchema-instance" xsi:type="dcterms:W3CDTF">2026-03-11T18:19:32Z</dcterms:modified>
  <cp:lastModifiedBy>Marley Dowling</cp:lastModifiedBy>
</cp:coreProperties>
</file>