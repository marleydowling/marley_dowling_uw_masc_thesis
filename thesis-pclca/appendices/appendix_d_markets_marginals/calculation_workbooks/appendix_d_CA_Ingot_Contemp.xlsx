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710" yWindow="0" windowWidth="12980" windowHeight="15370" tabRatio="600" firstSheet="12" activeTab="0" autoFilterDateGrouping="1"/>
  </bookViews>
  <sheets>
    <sheet xmlns:r="http://schemas.openxmlformats.org/officeDocument/2006/relationships" name="CA_Ingot_Contemp" sheetId="1" state="visible" r:id="rId1"/>
  </sheets>
  <externalReferences>
    <externalReference xmlns:r="http://schemas.openxmlformats.org/officeDocument/2006/relationships" r:id="rId2"/>
  </externalReferences>
  <definedNames/>
  <calcPr calcId="191029" calcMode="auto" fullCalcOnLoad="1" forceFullCalc="1"/>
</workbook>
</file>

<file path=xl/styles.xml><?xml version="1.0" encoding="utf-8"?>
<styleSheet xmlns="http://schemas.openxmlformats.org/spreadsheetml/2006/main">
  <numFmts count="3">
    <numFmt numFmtId="164" formatCode="_-* #,##0.00_-;\-* #,##0.00_-;_-* &quot;-&quot;??_-;_-@_-"/>
    <numFmt numFmtId="165" formatCode="0.0%"/>
    <numFmt numFmtId="166" formatCode="0.0"/>
  </numFmts>
  <fonts count="30">
    <font>
      <name val="Aptos Narrow"/>
      <family val="2"/>
      <color theme="1"/>
      <sz val="11"/>
      <scheme val="minor"/>
    </font>
    <font>
      <name val="Aptos Narrow"/>
      <family val="2"/>
      <color theme="1"/>
      <sz val="11"/>
      <scheme val="minor"/>
    </font>
    <font>
      <name val="Aptos Narrow"/>
      <family val="2"/>
      <b val="1"/>
      <color theme="1"/>
      <sz val="11"/>
      <scheme val="minor"/>
    </font>
    <font>
      <name val="Aptos Narrow"/>
      <family val="2"/>
      <b val="1"/>
      <color theme="1"/>
      <sz val="11"/>
    </font>
    <font>
      <name val="Aptos Narrow"/>
      <family val="2"/>
      <color theme="1"/>
      <sz val="11"/>
    </font>
    <font>
      <name val="Arial"/>
      <family val="2"/>
      <color theme="1"/>
      <sz val="11"/>
    </font>
    <font>
      <name val="Aptos Narrow"/>
      <family val="2"/>
      <b val="1"/>
      <color theme="1"/>
      <sz val="12"/>
      <scheme val="minor"/>
    </font>
    <font>
      <name val="Aptos Narrow"/>
      <family val="2"/>
      <color theme="10"/>
      <sz val="11"/>
      <u val="single"/>
      <scheme val="minor"/>
    </font>
    <font>
      <name val="Aptos Narrow"/>
      <family val="2"/>
      <i val="1"/>
      <color theme="1"/>
      <sz val="11"/>
      <scheme val="minor"/>
    </font>
    <font>
      <name val="Aptos Narrow"/>
      <family val="2"/>
      <b val="1"/>
      <sz val="11"/>
    </font>
    <font>
      <name val="Aptos Narrow"/>
      <family val="2"/>
      <sz val="11"/>
      <scheme val="minor"/>
    </font>
    <font>
      <name val="Aptos Narrow"/>
      <family val="2"/>
      <sz val="11"/>
    </font>
    <font>
      <name val="Arial"/>
      <family val="2"/>
      <sz val="11"/>
    </font>
    <font>
      <name val="Aptos Narrow"/>
      <family val="2"/>
      <b val="1"/>
      <color theme="5"/>
      <sz val="11"/>
    </font>
    <font>
      <name val="Calibri"/>
      <family val="2"/>
      <b val="1"/>
      <sz val="11"/>
    </font>
    <font>
      <name val="Aptos Narrow"/>
      <family val="2"/>
      <color theme="1"/>
      <sz val="12"/>
      <scheme val="minor"/>
    </font>
    <font>
      <name val="Aptos Narrow"/>
      <family val="2"/>
      <color rgb="FFFF0000"/>
      <sz val="11"/>
      <scheme val="minor"/>
    </font>
    <font>
      <name val="Aptos Narrow"/>
      <family val="2"/>
      <sz val="12"/>
      <scheme val="minor"/>
    </font>
    <font>
      <name val="Aptos Narrow"/>
      <family val="2"/>
      <color theme="5"/>
      <sz val="11"/>
    </font>
    <font>
      <name val="Aptos Narrow"/>
      <family val="2"/>
      <color rgb="FFFF0000"/>
      <sz val="11"/>
    </font>
    <font>
      <name val="Aptos Narrow"/>
      <family val="2"/>
      <strike val="1"/>
      <color theme="1"/>
      <sz val="11"/>
      <scheme val="minor"/>
    </font>
    <font>
      <name val="Aptos Narrow"/>
      <family val="2"/>
      <strike val="1"/>
      <sz val="11"/>
    </font>
    <font>
      <name val="Arial"/>
      <family val="2"/>
      <color rgb="FF333333"/>
      <sz val="10"/>
    </font>
    <font>
      <name val="Arial"/>
      <family val="2"/>
      <sz val="10"/>
    </font>
    <font>
      <name val="Arial"/>
      <family val="2"/>
      <b val="1"/>
      <sz val="10"/>
    </font>
    <font>
      <name val="Arial"/>
      <family val="2"/>
      <b val="1"/>
      <sz val="9"/>
    </font>
    <font>
      <name val="Arial"/>
      <family val="2"/>
      <b val="1"/>
      <sz val="10"/>
      <vertAlign val="superscript"/>
    </font>
    <font>
      <name val="Arial"/>
      <family val="2"/>
      <color theme="0" tint="-0.499984740745262"/>
      <sz val="10"/>
    </font>
    <font>
      <name val="Arial"/>
      <family val="2"/>
      <color theme="0" tint="-0.499984740745262"/>
      <sz val="10"/>
      <vertAlign val="superscript"/>
    </font>
    <font>
      <name val="Arial"/>
      <family val="2"/>
      <b val="1"/>
      <color rgb="FFFF0000"/>
      <sz val="10"/>
    </font>
  </fonts>
  <fills count="14">
    <fill>
      <patternFill/>
    </fill>
    <fill>
      <patternFill patternType="gray125"/>
    </fill>
    <fill>
      <patternFill patternType="solid">
        <fgColor rgb="FF83CAEB"/>
        <bgColor rgb="FF83CAEB"/>
      </patternFill>
    </fill>
    <fill>
      <patternFill patternType="solid">
        <fgColor rgb="FFC1E4F5"/>
        <bgColor rgb="FFC1E4F5"/>
      </patternFill>
    </fill>
    <fill>
      <patternFill patternType="solid">
        <fgColor rgb="FFC1F0C8"/>
        <bgColor rgb="FFC1F0C8"/>
      </patternFill>
    </fill>
    <fill>
      <patternFill patternType="solid">
        <fgColor rgb="FFFF9900"/>
        <bgColor rgb="FFFF9900"/>
      </patternFill>
    </fill>
    <fill>
      <patternFill patternType="solid">
        <fgColor rgb="FFFFFF00"/>
        <bgColor rgb="FFFF9900"/>
      </patternFill>
    </fill>
    <fill>
      <patternFill patternType="solid">
        <fgColor theme="3" tint="0.749992370372631"/>
        <bgColor indexed="64"/>
      </patternFill>
    </fill>
    <fill>
      <patternFill patternType="solid">
        <fgColor theme="3" tint="0.8999908444471572"/>
        <bgColor indexed="64"/>
      </patternFill>
    </fill>
    <fill>
      <patternFill patternType="solid">
        <fgColor theme="9" tint="0.7999816888943144"/>
        <bgColor indexed="64"/>
      </patternFill>
    </fill>
    <fill>
      <patternFill patternType="solid">
        <fgColor rgb="FFFF0000"/>
        <bgColor indexed="64"/>
      </patternFill>
    </fill>
    <fill>
      <patternFill patternType="solid">
        <fgColor rgb="FFFFFF00"/>
        <bgColor indexed="64"/>
      </patternFill>
    </fill>
    <fill>
      <patternFill patternType="solid">
        <fgColor theme="8" tint="0.5999938962981048"/>
        <bgColor indexed="64"/>
      </patternFill>
    </fill>
    <fill>
      <patternFill patternType="solid">
        <fgColor theme="1"/>
        <bgColor indexed="64"/>
      </patternFill>
    </fill>
  </fills>
  <borders count="4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auto="1"/>
      </left>
      <right/>
      <top/>
      <bottom style="thin">
        <color auto="1"/>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right style="thin">
        <color indexed="64"/>
      </right>
      <top/>
      <bottom/>
      <diagonal/>
    </border>
    <border>
      <left style="thin">
        <color auto="1"/>
      </left>
      <right style="thin">
        <color indexed="64"/>
      </right>
      <top/>
      <bottom style="thin">
        <color auto="1"/>
      </bottom>
      <diagonal/>
    </border>
    <border>
      <left/>
      <right style="thin">
        <color indexed="64"/>
      </right>
      <top/>
      <bottom style="thin">
        <color auto="1"/>
      </bottom>
      <diagonal/>
    </border>
    <border>
      <left style="thin">
        <color indexed="64"/>
      </left>
      <right/>
      <top/>
      <bottom/>
      <diagonal/>
    </border>
    <border>
      <left/>
      <right/>
      <top/>
      <bottom style="thin">
        <color auto="1"/>
      </bottom>
      <diagonal/>
    </border>
  </borders>
  <cellStyleXfs count="6">
    <xf numFmtId="0" fontId="1" fillId="0" borderId="0"/>
    <xf numFmtId="43" fontId="1" fillId="0" borderId="0"/>
    <xf numFmtId="9" fontId="1" fillId="0" borderId="0"/>
    <xf numFmtId="0" fontId="7" fillId="0" borderId="0"/>
    <xf numFmtId="0" fontId="23" fillId="0" borderId="0"/>
    <xf numFmtId="9" fontId="23" fillId="0" borderId="0"/>
  </cellStyleXfs>
  <cellXfs count="253">
    <xf numFmtId="0" fontId="0" fillId="0" borderId="0" pivotButton="0" quotePrefix="0" xfId="0"/>
    <xf numFmtId="0" fontId="3" fillId="2" borderId="1" pivotButton="0" quotePrefix="0" xfId="0"/>
    <xf numFmtId="0" fontId="3" fillId="2" borderId="2" pivotButton="0" quotePrefix="0" xfId="0"/>
    <xf numFmtId="0" fontId="3" fillId="2" borderId="3" pivotButton="0" quotePrefix="0" xfId="0"/>
    <xf numFmtId="0" fontId="3" fillId="3" borderId="5" pivotButton="0" quotePrefix="0" xfId="0"/>
    <xf numFmtId="0" fontId="3" fillId="3" borderId="0" applyAlignment="1" pivotButton="0" quotePrefix="0" xfId="0">
      <alignment horizontal="center"/>
    </xf>
    <xf numFmtId="0" fontId="4" fillId="0" borderId="5" pivotButton="0" quotePrefix="0" xfId="0"/>
    <xf numFmtId="4" fontId="5" fillId="5" borderId="0" applyAlignment="1" pivotButton="0" quotePrefix="0" xfId="0">
      <alignment horizontal="center"/>
    </xf>
    <xf numFmtId="4" fontId="4" fillId="5" borderId="0" applyAlignment="1" pivotButton="0" quotePrefix="0" xfId="0">
      <alignment horizontal="center"/>
    </xf>
    <xf numFmtId="0" fontId="4" fillId="0" borderId="0" pivotButton="0" quotePrefix="0" xfId="0"/>
    <xf numFmtId="0" fontId="4" fillId="5" borderId="0" applyAlignment="1" pivotButton="0" quotePrefix="0" xfId="0">
      <alignment horizontal="center"/>
    </xf>
    <xf numFmtId="0" fontId="3" fillId="0" borderId="8" pivotButton="0" quotePrefix="0" xfId="0"/>
    <xf numFmtId="0" fontId="3" fillId="0" borderId="2" applyAlignment="1" pivotButton="0" quotePrefix="0" xfId="0">
      <alignment horizontal="center"/>
    </xf>
    <xf numFmtId="0" fontId="3" fillId="0" borderId="3" applyAlignment="1" pivotButton="0" quotePrefix="0" xfId="0">
      <alignment horizontal="center"/>
    </xf>
    <xf numFmtId="0" fontId="3" fillId="0" borderId="0" applyAlignment="1" pivotButton="0" quotePrefix="0" xfId="0">
      <alignment horizontal="center"/>
    </xf>
    <xf numFmtId="164" fontId="1" fillId="0" borderId="9" pivotButton="0" quotePrefix="0" xfId="1"/>
    <xf numFmtId="164" fontId="4" fillId="0" borderId="10" applyAlignment="1" pivotButton="0" quotePrefix="0" xfId="1">
      <alignment horizontal="center"/>
    </xf>
    <xf numFmtId="0" fontId="3" fillId="0" borderId="0" pivotButton="0" quotePrefix="0" xfId="0"/>
    <xf numFmtId="164" fontId="3" fillId="0" borderId="0" applyAlignment="1" pivotButton="0" quotePrefix="0" xfId="1">
      <alignment horizontal="center"/>
    </xf>
    <xf numFmtId="164" fontId="2" fillId="0" borderId="0" pivotButton="0" quotePrefix="0" xfId="1"/>
    <xf numFmtId="165" fontId="4" fillId="0" borderId="0" applyAlignment="1" pivotButton="0" quotePrefix="0" xfId="2">
      <alignment horizontal="center"/>
    </xf>
    <xf numFmtId="164" fontId="2" fillId="0" borderId="0" applyAlignment="1" pivotButton="0" quotePrefix="0" xfId="1">
      <alignment horizontal="center"/>
    </xf>
    <xf numFmtId="0" fontId="2" fillId="0" borderId="0" pivotButton="0" quotePrefix="0" xfId="0"/>
    <xf numFmtId="10" fontId="3" fillId="0" borderId="0" applyAlignment="1" pivotButton="0" quotePrefix="0" xfId="2">
      <alignment horizontal="center"/>
    </xf>
    <xf numFmtId="0" fontId="6" fillId="0" borderId="0" pivotButton="0" quotePrefix="0" xfId="0"/>
    <xf numFmtId="0" fontId="5" fillId="5" borderId="0" applyAlignment="1" pivotButton="0" quotePrefix="0" xfId="0">
      <alignment horizontal="center"/>
    </xf>
    <xf numFmtId="10" fontId="4" fillId="0" borderId="2" applyAlignment="1" pivotButton="0" quotePrefix="0" xfId="0">
      <alignment horizontal="center"/>
    </xf>
    <xf numFmtId="165" fontId="4" fillId="0" borderId="9" applyAlignment="1" pivotButton="0" quotePrefix="0" xfId="2">
      <alignment horizontal="center"/>
    </xf>
    <xf numFmtId="0" fontId="3" fillId="3" borderId="12" applyAlignment="1" pivotButton="0" quotePrefix="0" xfId="0">
      <alignment horizontal="center"/>
    </xf>
    <xf numFmtId="0" fontId="4" fillId="0" borderId="13" applyAlignment="1" pivotButton="0" quotePrefix="0" xfId="1">
      <alignment horizontal="center" vertical="center"/>
    </xf>
    <xf numFmtId="10" fontId="4" fillId="0" borderId="13" applyAlignment="1" pivotButton="0" quotePrefix="0" xfId="2">
      <alignment horizontal="center" vertical="center"/>
    </xf>
    <xf numFmtId="0" fontId="3" fillId="0" borderId="1" pivotButton="0" quotePrefix="0" xfId="0"/>
    <xf numFmtId="0" fontId="3" fillId="0" borderId="5" pivotButton="0" quotePrefix="0" xfId="0"/>
    <xf numFmtId="10" fontId="4" fillId="0" borderId="8" applyAlignment="1" pivotButton="0" quotePrefix="0" xfId="2">
      <alignment horizontal="center"/>
    </xf>
    <xf numFmtId="165" fontId="0" fillId="0" borderId="0" pivotButton="0" quotePrefix="0" xfId="2"/>
    <xf numFmtId="10" fontId="0" fillId="0" borderId="0" pivotButton="0" quotePrefix="0" xfId="2"/>
    <xf numFmtId="10" fontId="0" fillId="0" borderId="13" pivotButton="0" quotePrefix="0" xfId="2"/>
    <xf numFmtId="0" fontId="0" fillId="0" borderId="3" pivotButton="0" quotePrefix="0" xfId="0"/>
    <xf numFmtId="10" fontId="0" fillId="0" borderId="10" pivotButton="0" quotePrefix="0" xfId="0"/>
    <xf numFmtId="10" fontId="0" fillId="0" borderId="15" pivotButton="0" quotePrefix="0" xfId="0"/>
    <xf numFmtId="10" fontId="3" fillId="0" borderId="1" applyAlignment="1" pivotButton="0" quotePrefix="0" xfId="0">
      <alignment horizontal="center"/>
    </xf>
    <xf numFmtId="9" fontId="3" fillId="3" borderId="12" applyAlignment="1" pivotButton="0" quotePrefix="0" xfId="2">
      <alignment horizontal="center"/>
    </xf>
    <xf numFmtId="0" fontId="3" fillId="2" borderId="18" applyAlignment="1" pivotButton="0" quotePrefix="0" xfId="0">
      <alignment horizontal="center"/>
    </xf>
    <xf numFmtId="9" fontId="3" fillId="3" borderId="19" applyAlignment="1" pivotButton="0" quotePrefix="0" xfId="2">
      <alignment horizontal="center"/>
    </xf>
    <xf numFmtId="165" fontId="0" fillId="0" borderId="13" pivotButton="0" quotePrefix="0" xfId="2"/>
    <xf numFmtId="165" fontId="0" fillId="0" borderId="14" pivotButton="0" quotePrefix="0" xfId="2"/>
    <xf numFmtId="9" fontId="0" fillId="0" borderId="4" pivotButton="0" quotePrefix="0" xfId="2"/>
    <xf numFmtId="9" fontId="0" fillId="0" borderId="7" pivotButton="0" quotePrefix="0" xfId="2"/>
    <xf numFmtId="9" fontId="0" fillId="0" borderId="11" pivotButton="0" quotePrefix="0" xfId="2"/>
    <xf numFmtId="0" fontId="9" fillId="2" borderId="1" pivotButton="0" quotePrefix="0" xfId="0"/>
    <xf numFmtId="0" fontId="9" fillId="2" borderId="2" pivotButton="0" quotePrefix="0" xfId="0"/>
    <xf numFmtId="0" fontId="9" fillId="2" borderId="3" pivotButton="0" quotePrefix="0" xfId="0"/>
    <xf numFmtId="0" fontId="9" fillId="2" borderId="4" pivotButton="0" quotePrefix="0" xfId="0"/>
    <xf numFmtId="0" fontId="10" fillId="0" borderId="0" pivotButton="0" quotePrefix="0" xfId="0"/>
    <xf numFmtId="0" fontId="11" fillId="0" borderId="5" pivotButton="0" quotePrefix="0" xfId="0"/>
    <xf numFmtId="0" fontId="11" fillId="6" borderId="6" applyAlignment="1" pivotButton="0" quotePrefix="0" xfId="0">
      <alignment horizontal="center"/>
    </xf>
    <xf numFmtId="0" fontId="11" fillId="0" borderId="5" applyAlignment="1" pivotButton="0" quotePrefix="0" xfId="0">
      <alignment horizontal="center"/>
    </xf>
    <xf numFmtId="10" fontId="11" fillId="4" borderId="6" applyAlignment="1" pivotButton="0" quotePrefix="0" xfId="0">
      <alignment horizontal="center"/>
    </xf>
    <xf numFmtId="10" fontId="11" fillId="4" borderId="7" applyAlignment="1" pivotButton="0" quotePrefix="0" xfId="0">
      <alignment horizontal="center"/>
    </xf>
    <xf numFmtId="0" fontId="13" fillId="0" borderId="9" pivotButton="0" quotePrefix="0" xfId="0"/>
    <xf numFmtId="0" fontId="9" fillId="3" borderId="2" pivotButton="0" quotePrefix="0" xfId="0"/>
    <xf numFmtId="0" fontId="2" fillId="0" borderId="0" applyAlignment="1" pivotButton="0" quotePrefix="0" xfId="0">
      <alignment vertical="center" wrapText="1"/>
    </xf>
    <xf numFmtId="10" fontId="2" fillId="0" borderId="0" pivotButton="0" quotePrefix="0" xfId="2"/>
    <xf numFmtId="2" fontId="0" fillId="0" borderId="0" pivotButton="0" quotePrefix="0" xfId="0"/>
    <xf numFmtId="0" fontId="7" fillId="0" borderId="0" pivotButton="0" quotePrefix="0" xfId="3"/>
    <xf numFmtId="0" fontId="14" fillId="0" borderId="0" pivotButton="0" quotePrefix="0" xfId="0"/>
    <xf numFmtId="0" fontId="15" fillId="0" borderId="0" pivotButton="0" quotePrefix="0" xfId="0"/>
    <xf numFmtId="10" fontId="0" fillId="0" borderId="0" pivotButton="0" quotePrefix="0" xfId="0"/>
    <xf numFmtId="4" fontId="4" fillId="0" borderId="9" applyAlignment="1" pivotButton="0" quotePrefix="0" xfId="0">
      <alignment horizontal="center"/>
    </xf>
    <xf numFmtId="10" fontId="4" fillId="0" borderId="3" applyAlignment="1" pivotButton="0" quotePrefix="0" xfId="0">
      <alignment horizontal="center"/>
    </xf>
    <xf numFmtId="0" fontId="4" fillId="0" borderId="20" applyAlignment="1" pivotButton="0" quotePrefix="0" xfId="1">
      <alignment horizontal="center" vertical="center"/>
    </xf>
    <xf numFmtId="0" fontId="4" fillId="0" borderId="10" applyAlignment="1" pivotButton="0" quotePrefix="0" xfId="1">
      <alignment horizontal="center" vertical="center"/>
    </xf>
    <xf numFmtId="10" fontId="3" fillId="0" borderId="21" applyAlignment="1" pivotButton="0" quotePrefix="0" xfId="0">
      <alignment horizontal="center"/>
    </xf>
    <xf numFmtId="10" fontId="4" fillId="0" borderId="4" applyAlignment="1" pivotButton="0" quotePrefix="0" xfId="0">
      <alignment horizontal="center"/>
    </xf>
    <xf numFmtId="165" fontId="4" fillId="0" borderId="11" applyAlignment="1" pivotButton="0" quotePrefix="0" xfId="2">
      <alignment horizontal="center"/>
    </xf>
    <xf numFmtId="165" fontId="4" fillId="0" borderId="10" applyAlignment="1" pivotButton="0" quotePrefix="0" xfId="2">
      <alignment horizontal="center"/>
    </xf>
    <xf numFmtId="0" fontId="9" fillId="3" borderId="1" pivotButton="0" quotePrefix="0" xfId="0"/>
    <xf numFmtId="0" fontId="9" fillId="3" borderId="2" applyAlignment="1" pivotButton="0" quotePrefix="0" xfId="0">
      <alignment horizontal="center"/>
    </xf>
    <xf numFmtId="0" fontId="9" fillId="3" borderId="3" applyAlignment="1" pivotButton="0" quotePrefix="0" xfId="0">
      <alignment horizontal="center"/>
    </xf>
    <xf numFmtId="0" fontId="11" fillId="0" borderId="0" pivotButton="0" quotePrefix="0" xfId="0"/>
    <xf numFmtId="0" fontId="12" fillId="5" borderId="0" applyAlignment="1" pivotButton="0" quotePrefix="0" xfId="0">
      <alignment horizontal="center"/>
    </xf>
    <xf numFmtId="0" fontId="11" fillId="5" borderId="0" applyAlignment="1" pivotButton="0" quotePrefix="0" xfId="0">
      <alignment horizontal="center"/>
    </xf>
    <xf numFmtId="0" fontId="13" fillId="0" borderId="8" pivotButton="0" quotePrefix="0" xfId="0"/>
    <xf numFmtId="0" fontId="13" fillId="0" borderId="9" applyAlignment="1" pivotButton="0" quotePrefix="0" xfId="0">
      <alignment horizontal="center"/>
    </xf>
    <xf numFmtId="0" fontId="13" fillId="0" borderId="10" applyAlignment="1" pivotButton="0" quotePrefix="0" xfId="0">
      <alignment horizontal="center"/>
    </xf>
    <xf numFmtId="0" fontId="9" fillId="3" borderId="1" applyAlignment="1" pivotButton="0" quotePrefix="0" xfId="0">
      <alignment horizontal="center"/>
    </xf>
    <xf numFmtId="2" fontId="9" fillId="3" borderId="3" applyAlignment="1" pivotButton="0" quotePrefix="0" xfId="0">
      <alignment horizontal="center"/>
    </xf>
    <xf numFmtId="0" fontId="9" fillId="4" borderId="3" applyAlignment="1" pivotButton="0" quotePrefix="0" xfId="0">
      <alignment horizontal="center"/>
    </xf>
    <xf numFmtId="0" fontId="13" fillId="0" borderId="8" applyAlignment="1" pivotButton="0" quotePrefix="0" xfId="0">
      <alignment horizontal="center"/>
    </xf>
    <xf numFmtId="9" fontId="13" fillId="4" borderId="10" applyAlignment="1" pivotButton="0" quotePrefix="0" xfId="0">
      <alignment horizontal="center"/>
    </xf>
    <xf numFmtId="0" fontId="9" fillId="4" borderId="4" applyAlignment="1" pivotButton="0" quotePrefix="0" xfId="0">
      <alignment horizontal="center"/>
    </xf>
    <xf numFmtId="9" fontId="13" fillId="4" borderId="11" applyAlignment="1" pivotButton="0" quotePrefix="0" xfId="0">
      <alignment horizontal="center"/>
    </xf>
    <xf numFmtId="0" fontId="11" fillId="0" borderId="5" applyAlignment="1" pivotButton="0" quotePrefix="0" xfId="1">
      <alignment horizontal="center" vertical="center"/>
    </xf>
    <xf numFmtId="0" fontId="11" fillId="0" borderId="0" applyAlignment="1" pivotButton="0" quotePrefix="0" xfId="1">
      <alignment horizontal="center" vertical="center"/>
    </xf>
    <xf numFmtId="2" fontId="11" fillId="0" borderId="6" applyAlignment="1" pivotButton="0" quotePrefix="0" xfId="0">
      <alignment horizontal="center" vertical="center"/>
    </xf>
    <xf numFmtId="0" fontId="13" fillId="0" borderId="9" applyAlignment="1" pivotButton="0" quotePrefix="0" xfId="0">
      <alignment horizontal="center" vertical="center"/>
    </xf>
    <xf numFmtId="2" fontId="13" fillId="0" borderId="10" applyAlignment="1" pivotButton="0" quotePrefix="0" xfId="0">
      <alignment horizontal="center" vertical="center"/>
    </xf>
    <xf numFmtId="10" fontId="0" fillId="0" borderId="0" pivotButton="0" quotePrefix="0" xfId="2"/>
    <xf numFmtId="4" fontId="4" fillId="0" borderId="13" applyAlignment="1" pivotButton="0" quotePrefix="0" xfId="1">
      <alignment horizontal="center" vertical="center"/>
    </xf>
    <xf numFmtId="0" fontId="2" fillId="7" borderId="25" pivotButton="0" quotePrefix="0" xfId="0"/>
    <xf numFmtId="0" fontId="2" fillId="8" borderId="25" pivotButton="0" quotePrefix="0" xfId="0"/>
    <xf numFmtId="0" fontId="0" fillId="0" borderId="25" pivotButton="0" quotePrefix="0" xfId="0"/>
    <xf numFmtId="0" fontId="0" fillId="9" borderId="25" pivotButton="0" quotePrefix="0" xfId="0"/>
    <xf numFmtId="2" fontId="9" fillId="2" borderId="3" pivotButton="0" quotePrefix="0" xfId="0"/>
    <xf numFmtId="0" fontId="9" fillId="3" borderId="5" pivotButton="0" quotePrefix="0" xfId="0"/>
    <xf numFmtId="0" fontId="9" fillId="3" borderId="0" pivotButton="0" quotePrefix="0" xfId="0"/>
    <xf numFmtId="0" fontId="9" fillId="3" borderId="0" applyAlignment="1" pivotButton="0" quotePrefix="0" xfId="0">
      <alignment horizontal="center"/>
    </xf>
    <xf numFmtId="0" fontId="9" fillId="3" borderId="6" applyAlignment="1" pivotButton="0" quotePrefix="0" xfId="0">
      <alignment horizontal="center"/>
    </xf>
    <xf numFmtId="0" fontId="9" fillId="3" borderId="5" applyAlignment="1" pivotButton="0" quotePrefix="0" xfId="0">
      <alignment horizontal="center"/>
    </xf>
    <xf numFmtId="2" fontId="9" fillId="3" borderId="6" applyAlignment="1" pivotButton="0" quotePrefix="0" xfId="0">
      <alignment horizontal="center"/>
    </xf>
    <xf numFmtId="0" fontId="9" fillId="4" borderId="6" applyAlignment="1" pivotButton="0" quotePrefix="0" xfId="0">
      <alignment horizontal="center"/>
    </xf>
    <xf numFmtId="0" fontId="9" fillId="4" borderId="7" applyAlignment="1" pivotButton="0" quotePrefix="0" xfId="0">
      <alignment horizontal="center"/>
    </xf>
    <xf numFmtId="0" fontId="12" fillId="6" borderId="0" applyAlignment="1" pivotButton="0" quotePrefix="0" xfId="0">
      <alignment horizontal="center"/>
    </xf>
    <xf numFmtId="10" fontId="11" fillId="0" borderId="5" applyAlignment="1" pivotButton="0" quotePrefix="0" xfId="0">
      <alignment horizontal="center"/>
    </xf>
    <xf numFmtId="10" fontId="11" fillId="0" borderId="0" applyAlignment="1" pivotButton="0" quotePrefix="0" xfId="0">
      <alignment horizontal="center"/>
    </xf>
    <xf numFmtId="2" fontId="11" fillId="0" borderId="6" applyAlignment="1" pivotButton="0" quotePrefix="0" xfId="0">
      <alignment horizontal="center"/>
    </xf>
    <xf numFmtId="2" fontId="11" fillId="0" borderId="0" applyAlignment="1" pivotButton="0" quotePrefix="0" xfId="0">
      <alignment horizontal="center"/>
    </xf>
    <xf numFmtId="0" fontId="11" fillId="0" borderId="0" applyAlignment="1" pivotButton="0" quotePrefix="0" xfId="0">
      <alignment horizontal="center"/>
    </xf>
    <xf numFmtId="9" fontId="11" fillId="4" borderId="6" applyAlignment="1" pivotButton="0" quotePrefix="0" xfId="0">
      <alignment horizontal="center"/>
    </xf>
    <xf numFmtId="0" fontId="11" fillId="6" borderId="0" applyAlignment="1" pivotButton="0" quotePrefix="0" xfId="0">
      <alignment horizontal="center"/>
    </xf>
    <xf numFmtId="0" fontId="17" fillId="0" borderId="0" pivotButton="0" quotePrefix="0" xfId="0"/>
    <xf numFmtId="0" fontId="13" fillId="0" borderId="0" applyAlignment="1" pivotButton="0" quotePrefix="0" xfId="0">
      <alignment horizontal="center"/>
    </xf>
    <xf numFmtId="10" fontId="18" fillId="0" borderId="8" applyAlignment="1" pivotButton="0" quotePrefix="0" xfId="0">
      <alignment horizontal="center"/>
    </xf>
    <xf numFmtId="2" fontId="13" fillId="0" borderId="10" applyAlignment="1" pivotButton="0" quotePrefix="0" xfId="0">
      <alignment horizontal="center"/>
    </xf>
    <xf numFmtId="10" fontId="13" fillId="4" borderId="10" applyAlignment="1" pivotButton="0" quotePrefix="0" xfId="0">
      <alignment horizontal="center"/>
    </xf>
    <xf numFmtId="0" fontId="13" fillId="0" borderId="5" applyAlignment="1" pivotButton="0" quotePrefix="0" xfId="0">
      <alignment horizontal="center"/>
    </xf>
    <xf numFmtId="9" fontId="13" fillId="4" borderId="6" applyAlignment="1" pivotButton="0" quotePrefix="0" xfId="0">
      <alignment horizontal="center"/>
    </xf>
    <xf numFmtId="0" fontId="9" fillId="10" borderId="0" pivotButton="0" quotePrefix="0" xfId="0"/>
    <xf numFmtId="0" fontId="9" fillId="3" borderId="3" pivotButton="0" quotePrefix="0" xfId="0"/>
    <xf numFmtId="0" fontId="0" fillId="0" borderId="5" pivotButton="0" quotePrefix="0" xfId="0"/>
    <xf numFmtId="0" fontId="0" fillId="0" borderId="6" pivotButton="0" quotePrefix="0" xfId="0"/>
    <xf numFmtId="9" fontId="0" fillId="0" borderId="0" pivotButton="0" quotePrefix="0" xfId="2"/>
    <xf numFmtId="9" fontId="0" fillId="0" borderId="0" pivotButton="0" quotePrefix="0" xfId="0"/>
    <xf numFmtId="2" fontId="0" fillId="0" borderId="6" pivotButton="0" quotePrefix="0" xfId="0"/>
    <xf numFmtId="0" fontId="16" fillId="0" borderId="5" pivotButton="0" quotePrefix="0" xfId="0"/>
    <xf numFmtId="0" fontId="16" fillId="0" borderId="0" pivotButton="0" quotePrefix="0" xfId="0"/>
    <xf numFmtId="9" fontId="16" fillId="0" borderId="0" pivotButton="0" quotePrefix="0" xfId="2"/>
    <xf numFmtId="10" fontId="19" fillId="4" borderId="6" applyAlignment="1" pivotButton="0" quotePrefix="0" xfId="0">
      <alignment horizontal="center"/>
    </xf>
    <xf numFmtId="0" fontId="20" fillId="0" borderId="0" pivotButton="0" quotePrefix="0" xfId="0"/>
    <xf numFmtId="0" fontId="20" fillId="0" borderId="5" pivotButton="0" quotePrefix="0" xfId="0"/>
    <xf numFmtId="0" fontId="20" fillId="0" borderId="6" pivotButton="0" quotePrefix="0" xfId="0"/>
    <xf numFmtId="9" fontId="20" fillId="0" borderId="0" pivotButton="0" quotePrefix="0" xfId="2"/>
    <xf numFmtId="9" fontId="20" fillId="0" borderId="0" pivotButton="0" quotePrefix="0" xfId="0"/>
    <xf numFmtId="2" fontId="20" fillId="0" borderId="6" pivotButton="0" quotePrefix="0" xfId="0"/>
    <xf numFmtId="10" fontId="21" fillId="4" borderId="7" applyAlignment="1" pivotButton="0" quotePrefix="0" xfId="0">
      <alignment horizontal="center"/>
    </xf>
    <xf numFmtId="0" fontId="0" fillId="0" borderId="18" pivotButton="0" quotePrefix="0" xfId="0"/>
    <xf numFmtId="0" fontId="0" fillId="0" borderId="8" pivotButton="0" quotePrefix="0" xfId="0"/>
    <xf numFmtId="0" fontId="0" fillId="0" borderId="9" pivotButton="0" quotePrefix="0" xfId="0"/>
    <xf numFmtId="0" fontId="0" fillId="0" borderId="10" pivotButton="0" quotePrefix="0" xfId="0"/>
    <xf numFmtId="9" fontId="0" fillId="0" borderId="9" pivotButton="0" quotePrefix="0" xfId="2"/>
    <xf numFmtId="9" fontId="0" fillId="0" borderId="9" pivotButton="0" quotePrefix="0" xfId="0"/>
    <xf numFmtId="2" fontId="0" fillId="0" borderId="10" pivotButton="0" quotePrefix="0" xfId="0"/>
    <xf numFmtId="10" fontId="11" fillId="4" borderId="10" applyAlignment="1" pivotButton="0" quotePrefix="0" xfId="0">
      <alignment horizontal="center"/>
    </xf>
    <xf numFmtId="2" fontId="2" fillId="0" borderId="0" pivotButton="0" quotePrefix="0" xfId="0"/>
    <xf numFmtId="9" fontId="2" fillId="0" borderId="0" pivotButton="0" quotePrefix="0" xfId="2"/>
    <xf numFmtId="0" fontId="5" fillId="0" borderId="0" pivotButton="0" quotePrefix="0" xfId="0"/>
    <xf numFmtId="0" fontId="5" fillId="5" borderId="0" pivotButton="0" quotePrefix="0" xfId="0"/>
    <xf numFmtId="0" fontId="5" fillId="4" borderId="0" pivotButton="0" quotePrefix="0" xfId="0"/>
    <xf numFmtId="0" fontId="11" fillId="10" borderId="5" pivotButton="0" quotePrefix="0" xfId="0"/>
    <xf numFmtId="0" fontId="9" fillId="0" borderId="0" pivotButton="0" quotePrefix="0" xfId="0"/>
    <xf numFmtId="0" fontId="22" fillId="11" borderId="0" applyAlignment="1" pivotButton="0" quotePrefix="0" xfId="0">
      <alignment horizontal="left" vertical="center" wrapText="1" indent="3"/>
    </xf>
    <xf numFmtId="0" fontId="22" fillId="11" borderId="0" applyAlignment="1" pivotButton="0" quotePrefix="0" xfId="0">
      <alignment horizontal="left" vertical="center" wrapText="1" indent="1"/>
    </xf>
    <xf numFmtId="0" fontId="2" fillId="12" borderId="0" pivotButton="0" quotePrefix="0" xfId="0"/>
    <xf numFmtId="0" fontId="6" fillId="12" borderId="0" pivotButton="0" quotePrefix="0" xfId="0"/>
    <xf numFmtId="0" fontId="14" fillId="12" borderId="0" pivotButton="0" quotePrefix="0" xfId="0"/>
    <xf numFmtId="0" fontId="2" fillId="12" borderId="0" applyAlignment="1" pivotButton="0" quotePrefix="0" xfId="0">
      <alignment vertical="center" wrapText="1"/>
    </xf>
    <xf numFmtId="0" fontId="0" fillId="12" borderId="0" pivotButton="0" quotePrefix="0" xfId="0"/>
    <xf numFmtId="0" fontId="8" fillId="12" borderId="0" pivotButton="0" quotePrefix="0" xfId="0"/>
    <xf numFmtId="0" fontId="0" fillId="12" borderId="0" applyAlignment="1" pivotButton="0" quotePrefix="0" xfId="0">
      <alignment horizontal="left" vertical="center" indent="1"/>
    </xf>
    <xf numFmtId="2" fontId="0" fillId="12" borderId="0" pivotButton="0" quotePrefix="0" xfId="0"/>
    <xf numFmtId="0" fontId="7" fillId="12" borderId="0" pivotButton="0" quotePrefix="0" xfId="3"/>
    <xf numFmtId="0" fontId="15" fillId="12" borderId="0" pivotButton="0" quotePrefix="0" xfId="0"/>
    <xf numFmtId="0" fontId="8" fillId="12" borderId="0" applyAlignment="1" pivotButton="0" quotePrefix="0" xfId="0">
      <alignment horizontal="left" vertical="center" indent="1"/>
    </xf>
    <xf numFmtId="0" fontId="23" fillId="0" borderId="1" applyAlignment="1" pivotButton="0" quotePrefix="0" xfId="4">
      <alignment vertical="center"/>
    </xf>
    <xf numFmtId="0" fontId="23" fillId="0" borderId="0" applyAlignment="1" pivotButton="0" quotePrefix="0" xfId="4">
      <alignment vertical="center"/>
    </xf>
    <xf numFmtId="0" fontId="23" fillId="0" borderId="2" applyAlignment="1" pivotButton="0" quotePrefix="0" xfId="4">
      <alignment vertical="center"/>
    </xf>
    <xf numFmtId="0" fontId="23" fillId="0" borderId="3" applyAlignment="1" pivotButton="0" quotePrefix="0" xfId="4">
      <alignment vertical="center"/>
    </xf>
    <xf numFmtId="0" fontId="23" fillId="0" borderId="5" applyAlignment="1" pivotButton="0" quotePrefix="0" xfId="4">
      <alignment vertical="center"/>
    </xf>
    <xf numFmtId="0" fontId="23" fillId="0" borderId="6" applyAlignment="1" pivotButton="0" quotePrefix="0" xfId="4">
      <alignment vertical="center"/>
    </xf>
    <xf numFmtId="0" fontId="23" fillId="13" borderId="5" applyAlignment="1" pivotButton="0" quotePrefix="0" xfId="4">
      <alignment vertical="center"/>
    </xf>
    <xf numFmtId="0" fontId="23" fillId="13" borderId="0" applyAlignment="1" pivotButton="0" quotePrefix="0" xfId="4">
      <alignment vertical="center"/>
    </xf>
    <xf numFmtId="0" fontId="23" fillId="13" borderId="6" applyAlignment="1" pivotButton="0" quotePrefix="0" xfId="4">
      <alignment vertical="center"/>
    </xf>
    <xf numFmtId="0" fontId="23" fillId="13" borderId="9" applyAlignment="1" pivotButton="0" quotePrefix="0" xfId="4">
      <alignment vertical="center"/>
    </xf>
    <xf numFmtId="0" fontId="23" fillId="0" borderId="26" applyAlignment="1" pivotButton="0" quotePrefix="0" xfId="4">
      <alignment vertical="center"/>
    </xf>
    <xf numFmtId="0" fontId="23" fillId="0" borderId="17" applyAlignment="1" pivotButton="0" quotePrefix="0" xfId="4">
      <alignment vertical="center"/>
    </xf>
    <xf numFmtId="0" fontId="23" fillId="0" borderId="27" applyAlignment="1" pivotButton="0" quotePrefix="0" xfId="4">
      <alignment vertical="center"/>
    </xf>
    <xf numFmtId="0" fontId="23" fillId="0" borderId="28" applyAlignment="1" pivotButton="0" quotePrefix="0" xfId="4">
      <alignment vertical="center"/>
    </xf>
    <xf numFmtId="0" fontId="23" fillId="0" borderId="29" applyAlignment="1" pivotButton="0" quotePrefix="0" xfId="4">
      <alignment vertical="center"/>
    </xf>
    <xf numFmtId="0" fontId="23" fillId="0" borderId="30" applyAlignment="1" pivotButton="0" quotePrefix="0" xfId="4">
      <alignment vertical="center"/>
    </xf>
    <xf numFmtId="0" fontId="23" fillId="0" borderId="31" applyAlignment="1" pivotButton="0" quotePrefix="0" xfId="4">
      <alignment vertical="center"/>
    </xf>
    <xf numFmtId="0" fontId="23" fillId="0" borderId="32" applyAlignment="1" pivotButton="0" quotePrefix="0" xfId="4">
      <alignment vertical="center"/>
    </xf>
    <xf numFmtId="0" fontId="24" fillId="0" borderId="5" applyAlignment="1" pivotButton="0" quotePrefix="0" xfId="4">
      <alignment vertical="center"/>
    </xf>
    <xf numFmtId="0" fontId="24" fillId="0" borderId="6" applyAlignment="1" pivotButton="0" quotePrefix="0" xfId="4">
      <alignment horizontal="center" vertical="center"/>
    </xf>
    <xf numFmtId="0" fontId="24" fillId="0" borderId="0" applyAlignment="1" pivotButton="0" quotePrefix="0" xfId="4">
      <alignment horizontal="center" vertical="center"/>
    </xf>
    <xf numFmtId="0" fontId="24" fillId="0" borderId="5" applyAlignment="1" pivotButton="0" quotePrefix="0" xfId="4">
      <alignment horizontal="center" vertical="center"/>
    </xf>
    <xf numFmtId="0" fontId="24" fillId="0" borderId="0" applyAlignment="1" pivotButton="0" quotePrefix="0" xfId="4">
      <alignment vertical="center"/>
    </xf>
    <xf numFmtId="0" fontId="24" fillId="0" borderId="6" applyAlignment="1" pivotButton="0" quotePrefix="0" xfId="4">
      <alignment vertical="center"/>
    </xf>
    <xf numFmtId="0" fontId="23" fillId="0" borderId="5" applyAlignment="1" pivotButton="0" quotePrefix="0" xfId="4">
      <alignment vertical="center" wrapText="1"/>
    </xf>
    <xf numFmtId="0" fontId="24" fillId="0" borderId="14" applyAlignment="1" pivotButton="0" quotePrefix="0" xfId="4">
      <alignment horizontal="center" vertical="center" wrapText="1"/>
    </xf>
    <xf numFmtId="0" fontId="24" fillId="0" borderId="25" applyAlignment="1" pivotButton="0" quotePrefix="0" xfId="4">
      <alignment horizontal="center" vertical="center" wrapText="1"/>
    </xf>
    <xf numFmtId="0" fontId="24" fillId="0" borderId="33" applyAlignment="1" pivotButton="0" quotePrefix="0" xfId="4">
      <alignment horizontal="center" vertical="center" wrapText="1"/>
    </xf>
    <xf numFmtId="0" fontId="24" fillId="0" borderId="6" applyAlignment="1" pivotButton="0" quotePrefix="0" xfId="4">
      <alignment horizontal="center" vertical="center" wrapText="1"/>
    </xf>
    <xf numFmtId="0" fontId="24" fillId="0" borderId="0" applyAlignment="1" pivotButton="0" quotePrefix="0" xfId="4">
      <alignment horizontal="center" vertical="center" wrapText="1"/>
    </xf>
    <xf numFmtId="0" fontId="24" fillId="0" borderId="5" applyAlignment="1" pivotButton="0" quotePrefix="0" xfId="4">
      <alignment horizontal="center" vertical="center" wrapText="1"/>
    </xf>
    <xf numFmtId="0" fontId="23" fillId="0" borderId="0" applyAlignment="1" pivotButton="0" quotePrefix="0" xfId="4">
      <alignment vertical="center" wrapText="1"/>
    </xf>
    <xf numFmtId="0" fontId="25" fillId="0" borderId="0" applyAlignment="1" pivotButton="0" quotePrefix="0" xfId="4">
      <alignment horizontal="center" vertical="center" wrapText="1"/>
    </xf>
    <xf numFmtId="0" fontId="23" fillId="0" borderId="6" applyAlignment="1" pivotButton="0" quotePrefix="0" xfId="4">
      <alignment vertical="center" wrapText="1"/>
    </xf>
    <xf numFmtId="0" fontId="24" fillId="0" borderId="28" applyAlignment="1" pivotButton="0" quotePrefix="0" xfId="4">
      <alignment horizontal="center" vertical="center" wrapText="1"/>
    </xf>
    <xf numFmtId="0" fontId="23" fillId="0" borderId="25" applyAlignment="1" pivotButton="0" quotePrefix="0" xfId="4">
      <alignment horizontal="center" vertical="center"/>
    </xf>
    <xf numFmtId="166" fontId="23" fillId="0" borderId="25" applyAlignment="1" pivotButton="0" quotePrefix="0" xfId="4">
      <alignment horizontal="center" vertical="center"/>
    </xf>
    <xf numFmtId="166" fontId="23" fillId="0" borderId="30" applyAlignment="1" pivotButton="0" quotePrefix="0" xfId="4">
      <alignment horizontal="center" vertical="center"/>
    </xf>
    <xf numFmtId="166" fontId="23" fillId="0" borderId="6" applyAlignment="1" pivotButton="0" quotePrefix="0" xfId="4">
      <alignment horizontal="center" vertical="center"/>
    </xf>
    <xf numFmtId="166" fontId="23" fillId="0" borderId="0" applyAlignment="1" pivotButton="0" quotePrefix="0" xfId="4">
      <alignment horizontal="center" vertical="center"/>
    </xf>
    <xf numFmtId="166" fontId="23" fillId="0" borderId="5" applyAlignment="1" pivotButton="0" quotePrefix="0" xfId="4">
      <alignment horizontal="center" vertical="center"/>
    </xf>
    <xf numFmtId="1" fontId="23" fillId="0" borderId="25" applyAlignment="1" pivotButton="0" quotePrefix="0" xfId="4">
      <alignment horizontal="center" vertical="center"/>
    </xf>
    <xf numFmtId="1" fontId="23" fillId="0" borderId="30" applyAlignment="1" pivotButton="0" quotePrefix="0" xfId="4">
      <alignment horizontal="center" vertical="center"/>
    </xf>
    <xf numFmtId="9" fontId="23" fillId="0" borderId="5" applyAlignment="1" pivotButton="0" quotePrefix="0" xfId="5">
      <alignment vertical="center"/>
    </xf>
    <xf numFmtId="0" fontId="23" fillId="0" borderId="8" applyAlignment="1" pivotButton="0" quotePrefix="0" xfId="4">
      <alignment vertical="center"/>
    </xf>
    <xf numFmtId="0" fontId="23" fillId="0" borderId="34" applyAlignment="1" pivotButton="0" quotePrefix="0" xfId="4">
      <alignment horizontal="center" vertical="center"/>
    </xf>
    <xf numFmtId="166" fontId="23" fillId="0" borderId="34" applyAlignment="1" pivotButton="0" quotePrefix="0" xfId="4">
      <alignment horizontal="center" vertical="center"/>
    </xf>
    <xf numFmtId="166" fontId="23" fillId="0" borderId="35" applyAlignment="1" pivotButton="0" quotePrefix="0" xfId="4">
      <alignment horizontal="center" vertical="center"/>
    </xf>
    <xf numFmtId="166" fontId="23" fillId="0" borderId="10" applyAlignment="1" pivotButton="0" quotePrefix="0" xfId="4">
      <alignment horizontal="center" vertical="center"/>
    </xf>
    <xf numFmtId="0" fontId="23" fillId="0" borderId="9" applyAlignment="1" pivotButton="0" quotePrefix="0" xfId="4">
      <alignment vertical="center"/>
    </xf>
    <xf numFmtId="166" fontId="23" fillId="0" borderId="9" applyAlignment="1" pivotButton="0" quotePrefix="0" xfId="4">
      <alignment horizontal="center" vertical="center"/>
    </xf>
    <xf numFmtId="1" fontId="23" fillId="0" borderId="35" applyAlignment="1" pivotButton="0" quotePrefix="0" xfId="4">
      <alignment horizontal="center" vertical="center"/>
    </xf>
    <xf numFmtId="0" fontId="23" fillId="0" borderId="10" applyAlignment="1" pivotButton="0" quotePrefix="0" xfId="4">
      <alignment vertical="center"/>
    </xf>
    <xf numFmtId="0" fontId="27" fillId="0" borderId="0" applyAlignment="1" pivotButton="0" quotePrefix="0" xfId="4">
      <alignment horizontal="left" vertical="center"/>
    </xf>
    <xf numFmtId="0" fontId="27" fillId="0" borderId="0" applyAlignment="1" pivotButton="0" quotePrefix="0" xfId="4">
      <alignment vertical="center"/>
    </xf>
    <xf numFmtId="166" fontId="23" fillId="0" borderId="5" applyAlignment="1" pivotButton="0" quotePrefix="0" xfId="4">
      <alignment vertical="center"/>
    </xf>
    <xf numFmtId="166" fontId="23" fillId="0" borderId="0" applyAlignment="1" pivotButton="0" quotePrefix="0" xfId="4">
      <alignment vertical="center"/>
    </xf>
    <xf numFmtId="166" fontId="23" fillId="0" borderId="8" applyAlignment="1" pivotButton="0" quotePrefix="0" xfId="4">
      <alignment horizontal="center" vertical="center"/>
    </xf>
    <xf numFmtId="1" fontId="23" fillId="0" borderId="34" applyAlignment="1" pivotButton="0" quotePrefix="0" xfId="4">
      <alignment horizontal="center" vertical="center"/>
    </xf>
    <xf numFmtId="0" fontId="23" fillId="0" borderId="0" applyAlignment="1" pivotButton="0" quotePrefix="0" xfId="4">
      <alignment horizontal="center" vertical="center"/>
    </xf>
    <xf numFmtId="0" fontId="29" fillId="0" borderId="0" applyAlignment="1" pivotButton="0" quotePrefix="0" xfId="4">
      <alignment vertical="center" wrapText="1"/>
    </xf>
    <xf numFmtId="166" fontId="29" fillId="0" borderId="0" applyAlignment="1" pivotButton="0" quotePrefix="0" xfId="4">
      <alignment vertical="center" wrapText="1"/>
    </xf>
    <xf numFmtId="0" fontId="3" fillId="2" borderId="16" applyAlignment="1" pivotButton="0" quotePrefix="0" xfId="0">
      <alignment horizontal="center"/>
    </xf>
    <xf numFmtId="0" fontId="3" fillId="2" borderId="17" applyAlignment="1" pivotButton="0" quotePrefix="0" xfId="0">
      <alignment horizontal="center"/>
    </xf>
    <xf numFmtId="0" fontId="3" fillId="2" borderId="18" applyAlignment="1" pivotButton="0" quotePrefix="0" xfId="0">
      <alignment horizontal="center"/>
    </xf>
    <xf numFmtId="0" fontId="9" fillId="2" borderId="22" applyAlignment="1" pivotButton="0" quotePrefix="0" xfId="0">
      <alignment horizontal="center"/>
    </xf>
    <xf numFmtId="0" fontId="9" fillId="2" borderId="23" applyAlignment="1" pivotButton="0" quotePrefix="0" xfId="0">
      <alignment horizontal="center"/>
    </xf>
    <xf numFmtId="0" fontId="9" fillId="2" borderId="24" applyAlignment="1" pivotButton="0" quotePrefix="0" xfId="0">
      <alignment horizontal="center"/>
    </xf>
    <xf numFmtId="0" fontId="24" fillId="0" borderId="26" applyAlignment="1" pivotButton="0" quotePrefix="0" xfId="4">
      <alignment horizontal="center" vertical="center"/>
    </xf>
    <xf numFmtId="0" fontId="24" fillId="0" borderId="33" applyAlignment="1" pivotButton="0" quotePrefix="0" xfId="4">
      <alignment horizontal="center" vertical="center"/>
    </xf>
    <xf numFmtId="0" fontId="24" fillId="0" borderId="13" applyAlignment="1" pivotButton="0" quotePrefix="0" xfId="4">
      <alignment horizontal="center" vertical="center"/>
    </xf>
    <xf numFmtId="0" fontId="24" fillId="0" borderId="14" applyAlignment="1" pivotButton="0" quotePrefix="0" xfId="4">
      <alignment horizontal="center" vertical="center"/>
    </xf>
    <xf numFmtId="0" fontId="24" fillId="0" borderId="18" applyAlignment="1" pivotButton="0" quotePrefix="0" xfId="4">
      <alignment horizontal="center" vertical="center"/>
    </xf>
    <xf numFmtId="0" fontId="24" fillId="0" borderId="12" applyAlignment="1" pivotButton="0" quotePrefix="0" xfId="4">
      <alignment horizontal="center" vertical="center"/>
    </xf>
    <xf numFmtId="0" fontId="24" fillId="0" borderId="28" applyAlignment="1" pivotButton="0" quotePrefix="0" xfId="4">
      <alignment horizontal="center" vertical="center"/>
    </xf>
    <xf numFmtId="0" fontId="24" fillId="0" borderId="30" applyAlignment="1" pivotButton="0" quotePrefix="0" xfId="4">
      <alignment horizontal="center" vertical="center"/>
    </xf>
    <xf numFmtId="0" fontId="24" fillId="0" borderId="29" applyAlignment="1" pivotButton="0" quotePrefix="0" xfId="4">
      <alignment horizontal="center" vertical="center"/>
    </xf>
    <xf numFmtId="0" fontId="9" fillId="2" borderId="15" applyAlignment="1" pivotButton="0" quotePrefix="0" xfId="0">
      <alignment horizontal="center"/>
    </xf>
    <xf numFmtId="0" fontId="0" fillId="0" borderId="23" pivotButton="0" quotePrefix="0" xfId="0"/>
    <xf numFmtId="0" fontId="0" fillId="0" borderId="24" pivotButton="0" quotePrefix="0" xfId="0"/>
  </cellXfs>
  <cellStyles count="6">
    <cellStyle name="Normal" xfId="0" builtinId="0"/>
    <cellStyle name="Comma" xfId="1" builtinId="3"/>
    <cellStyle name="Percent" xfId="2" builtinId="5"/>
    <cellStyle name="Hyperlink" xfId="3" builtinId="8"/>
    <cellStyle name="Normal 10" xfId="4"/>
    <cellStyle name="Percent 2" xfId="5"/>
  </cellStyles>
  <dxfs count="6">
    <dxf>
      <font>
        <color rgb="FFF2F2F2"/>
      </font>
      <fill>
        <patternFill/>
      </fill>
    </dxf>
    <dxf>
      <font>
        <color rgb="FFF2F2F2"/>
      </font>
      <fill>
        <patternFill/>
      </fill>
    </dxf>
    <dxf>
      <font>
        <color rgb="FFF2F2F2"/>
      </font>
      <fill>
        <patternFill/>
      </fill>
    </dxf>
    <dxf>
      <font>
        <color rgb="FFF2F2F2"/>
      </font>
      <fill>
        <patternFill/>
      </fill>
    </dxf>
    <dxf>
      <font>
        <color rgb="FFF2F2F2"/>
      </font>
      <fill>
        <patternFill/>
      </fill>
    </dxf>
    <dxf>
      <font>
        <color rgb="FFF2F2F2"/>
      </font>
      <fill>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tc={57DDC688-5690-4BCA-89DF-A7BF28AD7DE1}</author>
    <author>tc={05D093EB-55A7-4BB5-B59E-5BF3445CAFBE}</author>
    <author>tc={A82E300E-4234-49B3-9A37-FE07FFE1818C}</author>
    <author>tc={94C7405A-80AE-4794-8597-076B50F5A248}</author>
    <author>tc={00D6DE7B-B94F-4CB8-BA45-8EF247FA31B1}</author>
  </authors>
  <commentList>
    <comment ref="B3" authorId="0" shapeId="0">
      <text>
        <t xml:space="preserve">[Threaded comment]
Your version of Excel allows you to read this threaded comment; however, any edits to it will get removed if the file is opened in a newer version of Excel. Learn more: https://go.microsoft.com/fwlink/?linkid=870924
Comment:
    2021 Pilot program for zero carbon aluminum production
Reply:
    ELYSIS represents a groundbreaking development in aluminum smelting, utilizing inert anode technology to eliminate direct greenhouse gas emissions. As this technology is currently in the pilot phase, comprehensive data on its operational lifespan are not yet available. The longevity of ELYSIS-based smelters will depend on factors such as scalability, maintenance requirements, and long-term performance outcomes. </t>
      </text>
    </comment>
    <comment ref="B4" authorId="1" shapeId="0">
      <text>
        <t>[Threaded comment]
Your version of Excel allows you to read this threaded comment; however, any edits to it will get removed if the file is opened in a newer version of Excel. Learn more: https://go.microsoft.com/fwlink/?linkid=870924
Comment:
    50+ years based on currently operating smelters as late 60s and early 70s saw the introduction of these methods and little else is known.</t>
      </text>
    </comment>
    <comment ref="A7" authorId="2" shapeId="0">
      <text>
        <t>[Threaded comment]
Your version of Excel allows you to read this threaded comment; however, any edits to it will get removed if the file is opened in a newer version of Excel. Learn more: https://go.microsoft.com/fwlink/?linkid=870924
Comment:
    25% owned by Rio Tinto
Reply:
    Alcoa has company wide 916,000 mtpy of idle capacity relative to the total consolidated capacity of 3,173,000</t>
      </text>
    </comment>
    <comment ref="F7" authorId="3" shapeId="0">
      <text>
        <t>[Threaded comment]
Your version of Excel allows you to read this threaded comment; however, any edits to it will get removed if the file is opened in a newer version of Excel. Learn more: https://go.microsoft.com/fwlink/?linkid=870924
Comment:
    Has capacity of 467,000 but currently producing 350,000</t>
      </text>
    </comment>
    <comment ref="F9" authorId="4" shapeId="0">
      <text>
        <t>[Threaded comment]
Your version of Excel allows you to read this threaded comment; however, any edits to it will get removed if the file is opened in a newer version of Excel. Learn more: https://go.microsoft.com/fwlink/?linkid=870924
Comment:
    Overall positive trend so modern, competitive tech is the focus.
Reply:
    Canadian gov is assuming alum production in Canada will stay the same and it looks like they are right. We don’t have the capacity currently to increase.</t>
      </text>
    </comment>
  </commentList>
</comments>
</file>

<file path=xl/externalLinks/_rels/externalLink1.xml.rels><Relationships xmlns="http://schemas.openxmlformats.org/package/2006/relationships"><Relationship Type="http://schemas.openxmlformats.org/officeDocument/2006/relationships/externalLinkPath" Target="https://uofwaterloo-my.sharepoint.com/personal/mkldowli_uwaterloo_ca/Documents/1_MASc/3_Theoretical%20Analysis/LCA%20Analysis/Brightway/LCI.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LCI"/>
      <sheetName val="LCI (2)"/>
      <sheetName val="Search Terms"/>
      <sheetName val="Ontario Elec. Example_Future"/>
      <sheetName val="Ontario Elec. Example_Current"/>
      <sheetName val="Imports v Exports Elec."/>
      <sheetName val="AB Elec. Example_Current"/>
      <sheetName val="BC Elec. Example_Current"/>
      <sheetName val="QC Elec. Example_Current"/>
      <sheetName val="Canada Elec Example_Current_new"/>
      <sheetName val="Canada Elec Example_Current_old"/>
      <sheetName val="CA Elec Imports_2024"/>
      <sheetName val="CA Elec Imports_2022"/>
      <sheetName val="CA Elec Imports_2020"/>
      <sheetName val="CA Elec Imports_2019"/>
      <sheetName val="All Alum. Producers"/>
      <sheetName val="All Alum. Producers_no_imports"/>
      <sheetName val="Alum_Production_Current_billet"/>
      <sheetName val="Alum_Production_Prospect_billet"/>
      <sheetName val="Alum_Production_Current_profile"/>
      <sheetName val="Alum_Production_Prospect_profil"/>
      <sheetName val="Alum. Production_Future_New"/>
      <sheetName val="Int._Alum_Imports_2019"/>
      <sheetName val="Int._Alum_Imports_2023"/>
      <sheetName val="Hydrogen_Prod_Current"/>
      <sheetName val="Hydrogen_Prod_Future"/>
      <sheetName val="AB Hydrogen Production Calcs"/>
      <sheetName val="Crude_Steel Production_Overall"/>
      <sheetName val="Crude_Steel Production_Current"/>
      <sheetName val="Int._Steel_Imports"/>
      <sheetName val="Downstream_Steel_Prods_Current"/>
      <sheetName val="Mass Timber Production_Base"/>
      <sheetName val="Mass Timber Production_Current"/>
      <sheetName val="Mass Timber Production_Future"/>
      <sheetName val="Glass_Production_Current"/>
      <sheetName val="Int._680610_Imports_2022"/>
      <sheetName val="Int._701980_Imports"/>
      <sheetName val="Ins_Production_Curr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2">
          <cell r="B2" t="str">
            <v>United Arab Emirates</v>
          </cell>
          <cell r="C2">
            <v>1859.50389</v>
          </cell>
          <cell r="H2">
            <v>7235.6415800000004</v>
          </cell>
        </row>
        <row r="3">
          <cell r="B3" t="str">
            <v>Albania</v>
          </cell>
          <cell r="C3">
            <v>23.635999999999999</v>
          </cell>
          <cell r="H3">
            <v>434.30691000000002</v>
          </cell>
        </row>
        <row r="4">
          <cell r="B4" t="str">
            <v>Argentina</v>
          </cell>
          <cell r="H4">
            <v>5.5472299999999999</v>
          </cell>
        </row>
        <row r="5">
          <cell r="B5" t="str">
            <v>Austria</v>
          </cell>
          <cell r="C5">
            <v>368.76584000000003</v>
          </cell>
          <cell r="H5">
            <v>912.7192</v>
          </cell>
        </row>
        <row r="6">
          <cell r="B6" t="str">
            <v>Australia</v>
          </cell>
          <cell r="C6">
            <v>3.03823</v>
          </cell>
          <cell r="H6">
            <v>5749.81477</v>
          </cell>
        </row>
        <row r="7">
          <cell r="B7" t="str">
            <v>Azerbaijan</v>
          </cell>
          <cell r="C7">
            <v>99.897000000000006</v>
          </cell>
          <cell r="H7">
            <v>189.57312999999999</v>
          </cell>
        </row>
        <row r="8">
          <cell r="B8" t="str">
            <v>Bosnia and Herzegovina</v>
          </cell>
          <cell r="C8">
            <v>0.63368000000000002</v>
          </cell>
          <cell r="H8">
            <v>21.030090000000001</v>
          </cell>
        </row>
        <row r="9">
          <cell r="B9" t="str">
            <v>Belgium</v>
          </cell>
          <cell r="C9">
            <v>316.40962000000002</v>
          </cell>
          <cell r="H9">
            <v>3681.6550400000001</v>
          </cell>
        </row>
        <row r="10">
          <cell r="B10" t="str">
            <v>Bulgaria</v>
          </cell>
          <cell r="H10">
            <v>111.29968</v>
          </cell>
        </row>
        <row r="11">
          <cell r="B11" t="str">
            <v>Bahrain</v>
          </cell>
          <cell r="C11">
            <v>1648.2999</v>
          </cell>
          <cell r="H11">
            <v>9587.3621500000008</v>
          </cell>
        </row>
        <row r="12">
          <cell r="B12" t="str">
            <v>Brazil</v>
          </cell>
          <cell r="C12">
            <v>45.148670000000003</v>
          </cell>
          <cell r="H12">
            <v>119.0989</v>
          </cell>
        </row>
        <row r="13">
          <cell r="B13" t="str">
            <v>Belarus</v>
          </cell>
          <cell r="H13">
            <v>14.76126</v>
          </cell>
        </row>
        <row r="14">
          <cell r="B14" t="str">
            <v>Belize</v>
          </cell>
          <cell r="H14">
            <v>15.67398</v>
          </cell>
        </row>
        <row r="15">
          <cell r="B15" t="str">
            <v>Switzerland</v>
          </cell>
          <cell r="C15">
            <v>72.447320000000005</v>
          </cell>
          <cell r="H15">
            <v>116.11454000000001</v>
          </cell>
        </row>
        <row r="16">
          <cell r="B16" t="str">
            <v>China</v>
          </cell>
          <cell r="C16">
            <v>43160.16865</v>
          </cell>
          <cell r="H16">
            <v>196974.26169000001</v>
          </cell>
        </row>
        <row r="17">
          <cell r="B17" t="str">
            <v>Colombia</v>
          </cell>
          <cell r="C17">
            <v>0.54117999999999999</v>
          </cell>
          <cell r="H17">
            <v>14.531370000000001</v>
          </cell>
        </row>
        <row r="18">
          <cell r="B18" t="str">
            <v>Czechia</v>
          </cell>
          <cell r="C18">
            <v>369.04520000000002</v>
          </cell>
          <cell r="H18">
            <v>123.74845999999999</v>
          </cell>
        </row>
        <row r="19">
          <cell r="B19" t="str">
            <v>Germany</v>
          </cell>
          <cell r="C19">
            <v>5301.1532500000003</v>
          </cell>
          <cell r="H19">
            <v>17213.591230000002</v>
          </cell>
        </row>
        <row r="20">
          <cell r="B20" t="str">
            <v>Denmark</v>
          </cell>
          <cell r="C20">
            <v>1.1100000000000001</v>
          </cell>
          <cell r="H20">
            <v>1.59494</v>
          </cell>
        </row>
        <row r="21">
          <cell r="B21" t="str">
            <v>Dominican Republic</v>
          </cell>
          <cell r="H21">
            <v>225.5779</v>
          </cell>
        </row>
        <row r="22">
          <cell r="B22" t="str">
            <v>Algeria</v>
          </cell>
          <cell r="H22">
            <v>0.96057000000000003</v>
          </cell>
        </row>
        <row r="23">
          <cell r="B23" t="str">
            <v>Ecuador</v>
          </cell>
          <cell r="H23">
            <v>51.120930000000001</v>
          </cell>
        </row>
        <row r="24">
          <cell r="B24" t="str">
            <v>Egypt</v>
          </cell>
          <cell r="C24">
            <v>3.0794199999999998</v>
          </cell>
          <cell r="H24">
            <v>126.605</v>
          </cell>
        </row>
        <row r="25">
          <cell r="B25" t="str">
            <v>Spain</v>
          </cell>
          <cell r="C25">
            <v>1991.6153999999999</v>
          </cell>
          <cell r="H25">
            <v>4865.8932399999994</v>
          </cell>
        </row>
        <row r="26">
          <cell r="B26" t="str">
            <v>Ethiopia</v>
          </cell>
          <cell r="H26">
            <v>3.4929999999999999</v>
          </cell>
        </row>
        <row r="27">
          <cell r="B27" t="str">
            <v>Finland</v>
          </cell>
          <cell r="C27">
            <v>39.777000000000001</v>
          </cell>
          <cell r="H27">
            <v>925.00328999999999</v>
          </cell>
        </row>
        <row r="28">
          <cell r="B28" t="str">
            <v>France</v>
          </cell>
          <cell r="C28">
            <v>1025.1135200000001</v>
          </cell>
          <cell r="H28">
            <v>707.13518999999997</v>
          </cell>
        </row>
        <row r="29">
          <cell r="B29" t="str">
            <v>United Kingdom</v>
          </cell>
          <cell r="C29">
            <v>561.22299999999996</v>
          </cell>
          <cell r="H29">
            <v>1541.58412</v>
          </cell>
        </row>
        <row r="30">
          <cell r="B30" t="str">
            <v>Greece</v>
          </cell>
          <cell r="C30">
            <v>451.27931999999998</v>
          </cell>
          <cell r="H30">
            <v>2182.3042700000001</v>
          </cell>
        </row>
        <row r="31">
          <cell r="B31" t="str">
            <v>Hong Kong</v>
          </cell>
          <cell r="C31">
            <v>210.06190000000001</v>
          </cell>
          <cell r="H31">
            <v>303.13977</v>
          </cell>
        </row>
        <row r="32">
          <cell r="B32" t="str">
            <v>Croatia</v>
          </cell>
          <cell r="C32">
            <v>157.89976999999999</v>
          </cell>
          <cell r="H32">
            <v>649.23327000000006</v>
          </cell>
        </row>
        <row r="33">
          <cell r="B33" t="str">
            <v>Hungary</v>
          </cell>
          <cell r="C33">
            <v>42.029000000000003</v>
          </cell>
          <cell r="H33">
            <v>4.5359999999999996</v>
          </cell>
        </row>
        <row r="34">
          <cell r="B34" t="str">
            <v>Indonesia</v>
          </cell>
          <cell r="C34">
            <v>1098.6394600000001</v>
          </cell>
          <cell r="H34">
            <v>3527.3376400000002</v>
          </cell>
        </row>
        <row r="35">
          <cell r="B35" t="str">
            <v>Ireland</v>
          </cell>
          <cell r="H35">
            <v>10.25</v>
          </cell>
        </row>
        <row r="36">
          <cell r="B36" t="str">
            <v>Israel</v>
          </cell>
          <cell r="C36">
            <v>80.607120000000009</v>
          </cell>
          <cell r="H36">
            <v>77.324590000000001</v>
          </cell>
        </row>
        <row r="37">
          <cell r="B37" t="str">
            <v>India</v>
          </cell>
          <cell r="C37">
            <v>2398.37635</v>
          </cell>
          <cell r="H37">
            <v>8239.4035800000001</v>
          </cell>
        </row>
        <row r="38">
          <cell r="B38" t="str">
            <v>Iceland</v>
          </cell>
          <cell r="C38">
            <v>2630.5920000000001</v>
          </cell>
          <cell r="H38">
            <v>4075.4781400000002</v>
          </cell>
        </row>
        <row r="39">
          <cell r="B39" t="str">
            <v>Italy</v>
          </cell>
          <cell r="C39">
            <v>1001.06268</v>
          </cell>
          <cell r="H39">
            <v>5730.3993700000001</v>
          </cell>
        </row>
        <row r="40">
          <cell r="B40" t="str">
            <v>Jordan</v>
          </cell>
          <cell r="C40">
            <v>21.817</v>
          </cell>
          <cell r="H40">
            <v>164.56656000000001</v>
          </cell>
        </row>
        <row r="41">
          <cell r="B41" t="str">
            <v>Japan</v>
          </cell>
          <cell r="C41">
            <v>236.77676</v>
          </cell>
          <cell r="H41">
            <v>865.19711999999993</v>
          </cell>
        </row>
        <row r="42">
          <cell r="B42" t="str">
            <v>Kenya</v>
          </cell>
          <cell r="H42">
            <v>21.330190000000002</v>
          </cell>
        </row>
        <row r="43">
          <cell r="B43" t="str">
            <v>South Korea</v>
          </cell>
          <cell r="C43">
            <v>1133.19471</v>
          </cell>
          <cell r="H43">
            <v>3379.1637099999998</v>
          </cell>
        </row>
        <row r="44">
          <cell r="B44" t="str">
            <v>Kazakhstan</v>
          </cell>
          <cell r="H44">
            <v>761.56940999999995</v>
          </cell>
        </row>
        <row r="45">
          <cell r="B45" t="str">
            <v>Lebanon</v>
          </cell>
          <cell r="C45">
            <v>0.86660000000000004</v>
          </cell>
          <cell r="H45">
            <v>0.88922999999999996</v>
          </cell>
        </row>
        <row r="46">
          <cell r="B46" t="str">
            <v>Sri Lanka</v>
          </cell>
          <cell r="H46">
            <v>5.4972000000000003</v>
          </cell>
        </row>
        <row r="47">
          <cell r="B47" t="str">
            <v>Lithuania</v>
          </cell>
          <cell r="H47">
            <v>1.12636</v>
          </cell>
        </row>
        <row r="48">
          <cell r="B48" t="str">
            <v>Luxembourg</v>
          </cell>
          <cell r="C48">
            <v>458.51799999999997</v>
          </cell>
          <cell r="H48">
            <v>93.231999999999999</v>
          </cell>
        </row>
        <row r="49">
          <cell r="B49" t="str">
            <v>Macau</v>
          </cell>
          <cell r="C49">
            <v>3.24</v>
          </cell>
        </row>
        <row r="50">
          <cell r="B50" t="str">
            <v>Mexico</v>
          </cell>
          <cell r="C50">
            <v>121.29721000000001</v>
          </cell>
          <cell r="H50">
            <v>3463.6620800000001</v>
          </cell>
        </row>
        <row r="51">
          <cell r="B51" t="str">
            <v>Malaysia</v>
          </cell>
          <cell r="C51">
            <v>3208.96054</v>
          </cell>
          <cell r="H51">
            <v>10002.72155</v>
          </cell>
        </row>
        <row r="52">
          <cell r="B52" t="str">
            <v>Netherlands</v>
          </cell>
          <cell r="C52">
            <v>892.03651000000002</v>
          </cell>
          <cell r="H52">
            <v>1966.3293100000001</v>
          </cell>
        </row>
        <row r="53">
          <cell r="B53" t="str">
            <v>Norway</v>
          </cell>
          <cell r="C53">
            <v>18.15503</v>
          </cell>
          <cell r="H53">
            <v>74.533180000000002</v>
          </cell>
        </row>
        <row r="54">
          <cell r="B54" t="str">
            <v>Niue</v>
          </cell>
          <cell r="H54">
            <v>2.3176299999999999</v>
          </cell>
        </row>
        <row r="55">
          <cell r="B55" t="str">
            <v>New Zealand</v>
          </cell>
          <cell r="C55">
            <v>19.643619999999999</v>
          </cell>
          <cell r="H55">
            <v>102.06871</v>
          </cell>
        </row>
        <row r="56">
          <cell r="B56" t="str">
            <v>Oman</v>
          </cell>
          <cell r="C56">
            <v>367.48041999999998</v>
          </cell>
          <cell r="H56">
            <v>211.04155</v>
          </cell>
        </row>
        <row r="57">
          <cell r="B57" t="str">
            <v>Peru</v>
          </cell>
          <cell r="H57">
            <v>7.4950000000000001</v>
          </cell>
        </row>
        <row r="58">
          <cell r="B58" t="str">
            <v>Philippines</v>
          </cell>
          <cell r="C58">
            <v>117.565</v>
          </cell>
          <cell r="H58">
            <v>54.753459999999997</v>
          </cell>
        </row>
        <row r="59">
          <cell r="B59" t="str">
            <v>Poland</v>
          </cell>
          <cell r="C59">
            <v>1398.56873</v>
          </cell>
          <cell r="H59">
            <v>552.90202999999997</v>
          </cell>
        </row>
        <row r="60">
          <cell r="B60" t="str">
            <v>Portugal</v>
          </cell>
          <cell r="C60">
            <v>10.300599999999999</v>
          </cell>
          <cell r="H60">
            <v>72.886709999999994</v>
          </cell>
        </row>
        <row r="61">
          <cell r="B61" t="str">
            <v>Qatar</v>
          </cell>
          <cell r="C61">
            <v>1939.9127900000001</v>
          </cell>
          <cell r="H61">
            <v>12265.01737</v>
          </cell>
        </row>
        <row r="62">
          <cell r="B62" t="str">
            <v>Romania</v>
          </cell>
          <cell r="C62">
            <v>297.43650000000002</v>
          </cell>
          <cell r="H62">
            <v>26.30856</v>
          </cell>
        </row>
        <row r="63">
          <cell r="B63" t="str">
            <v>Serbia</v>
          </cell>
          <cell r="H63">
            <v>45.186</v>
          </cell>
        </row>
        <row r="64">
          <cell r="B64" t="str">
            <v>Russia</v>
          </cell>
          <cell r="C64">
            <v>792.6386</v>
          </cell>
          <cell r="H64">
            <v>6.68</v>
          </cell>
        </row>
        <row r="65">
          <cell r="B65" t="str">
            <v>Saudi Arabia</v>
          </cell>
          <cell r="C65">
            <v>8854.9955300000001</v>
          </cell>
          <cell r="H65">
            <v>3161.02738</v>
          </cell>
        </row>
        <row r="66">
          <cell r="B66" t="str">
            <v>Sweden</v>
          </cell>
          <cell r="C66">
            <v>18.692430000000002</v>
          </cell>
          <cell r="H66">
            <v>181.85470000000001</v>
          </cell>
        </row>
        <row r="67">
          <cell r="B67" t="str">
            <v>Singapore</v>
          </cell>
          <cell r="C67">
            <v>28.106999999999999</v>
          </cell>
          <cell r="H67">
            <v>99.171859999999995</v>
          </cell>
        </row>
        <row r="68">
          <cell r="B68" t="str">
            <v>Slovenia</v>
          </cell>
          <cell r="C68">
            <v>106.91233</v>
          </cell>
          <cell r="H68">
            <v>1431.84707</v>
          </cell>
        </row>
        <row r="69">
          <cell r="B69" t="str">
            <v>Slovakia</v>
          </cell>
          <cell r="C69">
            <v>13.05954</v>
          </cell>
          <cell r="H69">
            <v>25.535530000000001</v>
          </cell>
        </row>
        <row r="70">
          <cell r="B70" t="str">
            <v>El Salvador</v>
          </cell>
          <cell r="C70">
            <v>2.6233300000000002</v>
          </cell>
          <cell r="H70">
            <v>94.863630000000001</v>
          </cell>
        </row>
        <row r="71">
          <cell r="B71" t="str">
            <v>Thailand</v>
          </cell>
          <cell r="C71">
            <v>1095.0960399999999</v>
          </cell>
          <cell r="H71">
            <v>2086.6016399999999</v>
          </cell>
        </row>
        <row r="72">
          <cell r="B72" t="str">
            <v>Tokelau</v>
          </cell>
          <cell r="H72">
            <v>19.422000000000001</v>
          </cell>
        </row>
        <row r="73">
          <cell r="B73" t="str">
            <v>Turkey</v>
          </cell>
          <cell r="C73">
            <v>4831.5057200000001</v>
          </cell>
          <cell r="H73">
            <v>14755.206319999999</v>
          </cell>
        </row>
        <row r="74">
          <cell r="B74" t="str">
            <v>Taiwan</v>
          </cell>
          <cell r="C74">
            <v>762.79637000000002</v>
          </cell>
          <cell r="H74">
            <v>3125.8324200000002</v>
          </cell>
        </row>
        <row r="75">
          <cell r="B75" t="str">
            <v>Ukraine</v>
          </cell>
          <cell r="C75">
            <v>0.97385999999999995</v>
          </cell>
        </row>
        <row r="76">
          <cell r="B76" t="str">
            <v>United States</v>
          </cell>
          <cell r="C76">
            <v>132484.91026999999</v>
          </cell>
          <cell r="H76">
            <v>417164.91106999991</v>
          </cell>
        </row>
        <row r="77">
          <cell r="B77" t="str">
            <v>Uzbekistan</v>
          </cell>
          <cell r="C77">
            <v>74.734920000000002</v>
          </cell>
          <cell r="H77">
            <v>124.92944</v>
          </cell>
        </row>
        <row r="78">
          <cell r="B78" t="str">
            <v>Vietnam</v>
          </cell>
          <cell r="C78">
            <v>2428.8871100000001</v>
          </cell>
          <cell r="H78">
            <v>13905.90921</v>
          </cell>
        </row>
        <row r="79">
          <cell r="B79" t="str">
            <v>South Africa</v>
          </cell>
          <cell r="C79">
            <v>81.964650000000006</v>
          </cell>
          <cell r="H79">
            <v>200.79589999999999</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aluminium.ca/en/the-industry/" TargetMode="External" Id="rId1"/><Relationship Type="http://schemas.openxmlformats.org/officeDocument/2006/relationships/hyperlink" Target="https://www.riotinto.com/-/media/Content/Documents/Products/Aluminium/RT-Aluminium-Delivering-responsible-future.pdf" TargetMode="External" Id="rId2"/><Relationship Type="http://schemas.openxmlformats.org/officeDocument/2006/relationships/hyperlink" Target="https://www.international.gc.ca/trade-commerce/controls-controles/aluminum-aluminium/index.aspx?lang=eng" TargetMode="Externa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M37"/>
  <sheetViews>
    <sheetView workbookViewId="0">
      <selection activeCell="A11" sqref="A11"/>
    </sheetView>
  </sheetViews>
  <sheetFormatPr baseColWidth="8" defaultColWidth="8.81640625" defaultRowHeight="14.5"/>
  <cols>
    <col width="35.453125" customWidth="1" min="1" max="1"/>
    <col width="12.90625" customWidth="1" min="2" max="2"/>
    <col width="18.453125" customWidth="1" min="3" max="3"/>
    <col width="16.1796875" customWidth="1" min="4" max="4"/>
    <col width="13.1796875" bestFit="1" customWidth="1" min="5" max="5"/>
    <col width="14.1796875" bestFit="1" customWidth="1" min="6" max="6"/>
    <col width="8.453125" customWidth="1" min="7" max="7"/>
    <col width="26.81640625" bestFit="1" customWidth="1" min="8" max="8"/>
    <col width="14.36328125" customWidth="1" min="9" max="9"/>
    <col width="16.6328125" customWidth="1" style="63" min="10" max="10"/>
    <col width="22.08984375" bestFit="1" customWidth="1" min="11" max="11"/>
    <col width="11.81640625" customWidth="1" min="12" max="12"/>
    <col width="20.453125" customWidth="1" min="13" max="13"/>
  </cols>
  <sheetData>
    <row r="1" ht="15" customFormat="1" customHeight="1" s="53" thickBot="1">
      <c r="A1" s="49" t="inlineStr">
        <is>
          <t>Input data - Aluminum Smelting</t>
        </is>
      </c>
      <c r="B1" s="50" t="n"/>
      <c r="C1" s="50" t="n"/>
      <c r="D1" s="50" t="n"/>
      <c r="E1" s="50" t="n"/>
      <c r="F1" s="50" t="n"/>
      <c r="G1" s="51" t="n"/>
      <c r="H1" s="250" t="inlineStr">
        <is>
          <t>Intermediate calculations</t>
        </is>
      </c>
      <c r="I1" s="251" t="n"/>
      <c r="J1" s="252" t="n"/>
      <c r="K1" s="250" t="inlineStr">
        <is>
          <t>Mix</t>
        </is>
      </c>
      <c r="L1" s="252" t="n"/>
      <c r="M1" s="52" t="n"/>
    </row>
    <row r="2" customFormat="1" s="53">
      <c r="A2" s="76" t="inlineStr">
        <is>
          <t>Supplier</t>
        </is>
      </c>
      <c r="B2" s="60" t="inlineStr">
        <is>
          <t>Technology</t>
        </is>
      </c>
      <c r="C2" s="60" t="inlineStr">
        <is>
          <t>Products</t>
        </is>
      </c>
      <c r="D2" s="60" t="inlineStr">
        <is>
          <t>Location</t>
        </is>
      </c>
      <c r="E2" s="77" t="inlineStr">
        <is>
          <t>Kiltonnes 2018</t>
        </is>
      </c>
      <c r="F2" s="77" t="inlineStr">
        <is>
          <t>Kilotonnes 2023</t>
        </is>
      </c>
      <c r="G2" s="78" t="inlineStr">
        <is>
          <t>Lifetime</t>
        </is>
      </c>
      <c r="H2" s="85" t="inlineStr">
        <is>
          <t>Net change over horizon ΔV (kt)</t>
        </is>
      </c>
      <c r="I2" s="77" t="inlineStr">
        <is>
          <t>Annual  ΔV (kt)</t>
        </is>
      </c>
      <c r="J2" s="86" t="inlineStr">
        <is>
          <t>Positive  ΔV (kt)</t>
        </is>
      </c>
      <c r="K2" s="85" t="inlineStr">
        <is>
          <t>Included in Marginal Set?</t>
        </is>
      </c>
      <c r="L2" s="87" t="inlineStr">
        <is>
          <t>Marginal mix</t>
        </is>
      </c>
      <c r="M2" s="90" t="inlineStr">
        <is>
          <t>Average Mix (2023)</t>
        </is>
      </c>
    </row>
    <row r="3" customFormat="1" s="53">
      <c r="A3" s="54" t="inlineStr">
        <is>
          <t>Rio Tinto - Alma Smelter</t>
        </is>
      </c>
      <c r="B3" s="79" t="inlineStr">
        <is>
          <t>Hall-Héroult: ELYSIS &amp; inert anode tech (piloting), AP44 technology</t>
        </is>
      </c>
      <c r="C3" s="79" t="inlineStr">
        <is>
          <t>foundry alloys, rods, sows and remelt T ingots</t>
        </is>
      </c>
      <c r="D3" s="79" t="inlineStr">
        <is>
          <t>Quebec</t>
        </is>
      </c>
      <c r="E3" s="80" t="n">
        <v>465</v>
      </c>
      <c r="F3" s="81" t="n">
        <v>484</v>
      </c>
      <c r="G3" s="55" t="n">
        <v>50</v>
      </c>
      <c r="H3" s="92">
        <f>F3-E3</f>
        <v/>
      </c>
      <c r="I3" s="93">
        <f>H3/5</f>
        <v/>
      </c>
      <c r="J3" s="94">
        <f>IF(I3&gt;0,I3,0)</f>
        <v/>
      </c>
      <c r="K3" s="56">
        <f>IF(I3&gt;0,"Yes","No")</f>
        <v/>
      </c>
      <c r="L3" s="57">
        <f>J3/$J$9</f>
        <v/>
      </c>
      <c r="M3" s="58">
        <f>F3/($F$9)</f>
        <v/>
      </c>
    </row>
    <row r="4" customFormat="1" s="53">
      <c r="A4" s="54" t="inlineStr">
        <is>
          <t>Aluminerie Alouette - Alouette Smelter</t>
        </is>
      </c>
      <c r="B4" s="79" t="inlineStr">
        <is>
          <t>Hall-Héroult: Prebake technology</t>
        </is>
      </c>
      <c r="C4" s="79" t="inlineStr">
        <is>
          <t>ingots</t>
        </is>
      </c>
      <c r="D4" s="79" t="inlineStr">
        <is>
          <t>Quebec</t>
        </is>
      </c>
      <c r="E4" s="81" t="n">
        <v>584</v>
      </c>
      <c r="F4" s="81" t="n">
        <v>634</v>
      </c>
      <c r="G4" s="55" t="n">
        <v>50</v>
      </c>
      <c r="H4" s="92">
        <f>F4-E4</f>
        <v/>
      </c>
      <c r="I4" s="93">
        <f>H4/5</f>
        <v/>
      </c>
      <c r="J4" s="94">
        <f>IF(I4&gt;0,I4,0)</f>
        <v/>
      </c>
      <c r="K4" s="56">
        <f>IF(I4&gt;0,"Yes","No")</f>
        <v/>
      </c>
      <c r="L4" s="57">
        <f>J4/$J$9</f>
        <v/>
      </c>
      <c r="M4" s="58">
        <f>F4/($F$9)</f>
        <v/>
      </c>
    </row>
    <row r="5" customFormat="1" s="53">
      <c r="A5" s="54" t="inlineStr">
        <is>
          <t>Alcoa - Deschambault Smelter</t>
        </is>
      </c>
      <c r="B5" s="79" t="inlineStr">
        <is>
          <t>Hall-Héroult: Prebake technology</t>
        </is>
      </c>
      <c r="C5" s="79" t="inlineStr">
        <is>
          <t>t-shaped ingots</t>
        </is>
      </c>
      <c r="D5" s="79" t="inlineStr">
        <is>
          <t>Quebec</t>
        </is>
      </c>
      <c r="E5" s="81">
        <f>260000/1000</f>
        <v/>
      </c>
      <c r="F5" s="81">
        <f>287000/1000</f>
        <v/>
      </c>
      <c r="G5" s="55" t="n">
        <v>50</v>
      </c>
      <c r="H5" s="92">
        <f>F5-E5</f>
        <v/>
      </c>
      <c r="I5" s="93">
        <f>H5/5</f>
        <v/>
      </c>
      <c r="J5" s="94">
        <f>IF(I5&gt;0,I5,0)</f>
        <v/>
      </c>
      <c r="K5" s="56">
        <f>IF(I5&gt;0,"Yes","No")</f>
        <v/>
      </c>
      <c r="L5" s="57">
        <f>J5/$J$9</f>
        <v/>
      </c>
      <c r="M5" s="58">
        <f>F5/($F$9)</f>
        <v/>
      </c>
    </row>
    <row r="6" customFormat="1" s="53">
      <c r="A6" s="54" t="inlineStr">
        <is>
          <t>Rio Tinto - Grande Baie Smelter</t>
        </is>
      </c>
      <c r="B6" s="79" t="inlineStr">
        <is>
          <t>Hall-Héroult: Prebake technology</t>
        </is>
      </c>
      <c r="C6" s="79" t="inlineStr">
        <is>
          <t>plates (rolling ingots) remelting ingots</t>
        </is>
      </c>
      <c r="D6" s="79" t="inlineStr">
        <is>
          <t>Quebec</t>
        </is>
      </c>
      <c r="E6" s="81" t="n">
        <v>233</v>
      </c>
      <c r="F6" s="81" t="n">
        <v>229</v>
      </c>
      <c r="G6" s="55" t="n">
        <v>50</v>
      </c>
      <c r="H6" s="92">
        <f>F6-E6</f>
        <v/>
      </c>
      <c r="I6" s="93">
        <f>H6/5</f>
        <v/>
      </c>
      <c r="J6" s="94">
        <f>IF(I6&gt;0,I6,0)</f>
        <v/>
      </c>
      <c r="K6" s="56">
        <f>IF(I6&gt;0,"Yes","No")</f>
        <v/>
      </c>
      <c r="L6" s="57">
        <f>J6/$J$9</f>
        <v/>
      </c>
      <c r="M6" s="58">
        <f>F6/($F$9)</f>
        <v/>
      </c>
    </row>
    <row r="7" customFormat="1" s="53">
      <c r="A7" s="54" t="inlineStr">
        <is>
          <t>Alcoa - Becancour Smelter</t>
        </is>
      </c>
      <c r="B7" s="79" t="inlineStr">
        <is>
          <t>Hall-Héroult: Prebake technology</t>
        </is>
      </c>
      <c r="C7" s="79" t="inlineStr">
        <is>
          <t>T-ingots, plates, billets</t>
        </is>
      </c>
      <c r="D7" s="79" t="inlineStr">
        <is>
          <t>Quebec</t>
        </is>
      </c>
      <c r="E7" s="81" t="n">
        <v>438</v>
      </c>
      <c r="F7" s="81" t="n">
        <v>465</v>
      </c>
      <c r="G7" s="55" t="n">
        <v>50</v>
      </c>
      <c r="H7" s="92">
        <f>F7-E7</f>
        <v/>
      </c>
      <c r="I7" s="93">
        <f>H7/5</f>
        <v/>
      </c>
      <c r="J7" s="94">
        <f>IF(I7&gt;0,I7,0)</f>
        <v/>
      </c>
      <c r="K7" s="56">
        <f>IF(I7&gt;0,"Yes","No")</f>
        <v/>
      </c>
      <c r="L7" s="57">
        <f>J7/$J$9</f>
        <v/>
      </c>
      <c r="M7" s="58">
        <f>F7/($F$9)</f>
        <v/>
      </c>
    </row>
    <row r="8" customFormat="1" s="53">
      <c r="A8" s="54" t="inlineStr">
        <is>
          <t>Rio Tinto - Kitimat Smelter</t>
        </is>
      </c>
      <c r="B8" s="79" t="inlineStr">
        <is>
          <t>Hall-Héroult: AP40</t>
        </is>
      </c>
      <c r="C8" s="79" t="inlineStr">
        <is>
          <t>plates (rolling ingots), foundry ingots, remelting ingots and sows</t>
        </is>
      </c>
      <c r="D8" s="79" t="inlineStr">
        <is>
          <t>British Columbia</t>
        </is>
      </c>
      <c r="E8" s="81" t="n">
        <v>436</v>
      </c>
      <c r="F8" s="81" t="n">
        <v>377</v>
      </c>
      <c r="G8" s="55" t="n">
        <v>50</v>
      </c>
      <c r="H8" s="92">
        <f>F8-E8</f>
        <v/>
      </c>
      <c r="I8" s="93">
        <f>H8/5</f>
        <v/>
      </c>
      <c r="J8" s="94">
        <f>IF(I8&gt;0,I8,0)</f>
        <v/>
      </c>
      <c r="K8" s="56">
        <f>IF(I8&gt;0,"Yes","No")</f>
        <v/>
      </c>
      <c r="L8" s="57">
        <f>J8/$J$9</f>
        <v/>
      </c>
      <c r="M8" s="58">
        <f>F8/($F$9)</f>
        <v/>
      </c>
    </row>
    <row r="9" ht="15" customHeight="1" thickBot="1">
      <c r="A9" s="82" t="inlineStr">
        <is>
          <t>Total</t>
        </is>
      </c>
      <c r="B9" s="59" t="n"/>
      <c r="C9" s="59" t="n"/>
      <c r="D9" s="59" t="n"/>
      <c r="E9" s="83">
        <f>SUM(E3:E7)</f>
        <v/>
      </c>
      <c r="F9" s="83">
        <f>SUM(F3:F8)</f>
        <v/>
      </c>
      <c r="G9" s="84" t="n"/>
      <c r="H9" s="95">
        <f>SUM(H3:H8)</f>
        <v/>
      </c>
      <c r="I9" s="95">
        <f>SUM(I3:I8)</f>
        <v/>
      </c>
      <c r="J9" s="96">
        <f>SUM(J3:J8)</f>
        <v/>
      </c>
      <c r="K9" s="88" t="n"/>
      <c r="L9" s="89">
        <f>SUM(L3:L8)</f>
        <v/>
      </c>
      <c r="M9" s="91">
        <f>SUM(M3:M8)</f>
        <v/>
      </c>
    </row>
    <row r="10">
      <c r="A10" s="22" t="n"/>
      <c r="J10" s="22" t="n"/>
      <c r="K10" s="61" t="n"/>
      <c r="L10" s="62" t="n"/>
    </row>
    <row r="12">
      <c r="A12" s="22" t="inlineStr">
        <is>
          <t>Sources:</t>
        </is>
      </c>
    </row>
    <row r="13">
      <c r="A13" s="64" t="inlineStr">
        <is>
          <t>https://aluminium.ca/en/the-industry/#:~:text=The%20Canadian%20primary%20aluminium%20industry,1%20plant%20in%20British%20Columbia).</t>
        </is>
      </c>
      <c r="J13" s="65" t="n"/>
      <c r="K13" s="61" t="n"/>
    </row>
    <row r="14" ht="16" customHeight="1">
      <c r="A14" s="64" t="inlineStr">
        <is>
          <t>https://www.riotinto.com/-/media/Content/Documents/Products/Aluminium/RT-Aluminium-Delivering-responsible-future.pdf</t>
        </is>
      </c>
      <c r="B14" s="64" t="n"/>
      <c r="C14" s="24" t="n"/>
      <c r="D14" s="24" t="n"/>
      <c r="E14" s="24" t="n"/>
      <c r="F14" s="24" t="n"/>
      <c r="G14" s="24" t="n"/>
      <c r="H14" s="24" t="n"/>
      <c r="I14" s="24" t="n"/>
      <c r="J14" s="65" t="n"/>
      <c r="K14" s="61" t="n"/>
    </row>
    <row r="15" ht="16" customHeight="1">
      <c r="A15" s="66" t="inlineStr">
        <is>
          <t>https://www.riotinto.com/en/news/releases/2023/rio-tinto-to-expand-its-ap60-low-carbon-aluminium-smelter-in-quebec</t>
        </is>
      </c>
      <c r="B15" s="66" t="n"/>
      <c r="D15" s="24" t="n"/>
      <c r="E15" s="24" t="n"/>
      <c r="F15" s="24" t="n"/>
      <c r="G15" s="24" t="n"/>
      <c r="H15" s="24" t="n"/>
      <c r="I15" s="24" t="n"/>
      <c r="J15" s="65" t="n"/>
      <c r="K15" s="61" t="n"/>
    </row>
    <row r="16" ht="16" customHeight="1">
      <c r="A16" s="66" t="inlineStr">
        <is>
          <t>https://www.mining.com/web/global-aluminium-production-growth-brakes-sharply-2018/#:~:text=A%20union%20lock%2Dout%20has,up%201.25%20percent%20on%202017.</t>
        </is>
      </c>
      <c r="B16" s="66" t="n"/>
      <c r="C16" s="66" t="n"/>
      <c r="D16" s="24" t="n"/>
      <c r="E16" s="24" t="n"/>
      <c r="F16" s="24" t="n"/>
      <c r="G16" s="24" t="n"/>
      <c r="H16" s="24" t="n"/>
      <c r="I16" s="24" t="n"/>
      <c r="J16" s="65" t="n"/>
      <c r="K16" s="61" t="n"/>
    </row>
    <row r="17" ht="16" customHeight="1">
      <c r="A17" s="66" t="inlineStr">
        <is>
          <t>https://www.riotinto.com/en/can/news/releases/2023/rio-tinto-to-expand-its-ap60-low-carbon-aluminium-smelter-in-quebec#:~:text=The%20AP60%20technology%20generates%20approximately,aluminium%20for%20the%20industry%20average.</t>
        </is>
      </c>
      <c r="B17" s="24" t="n"/>
      <c r="C17" s="24" t="n"/>
      <c r="D17" s="24" t="n"/>
      <c r="E17" s="24" t="n"/>
      <c r="F17" s="24" t="n"/>
      <c r="G17" s="24" t="n"/>
      <c r="H17" s="24" t="n"/>
      <c r="I17" s="24" t="n"/>
      <c r="J17" s="65" t="n"/>
      <c r="K17" s="61" t="n"/>
    </row>
    <row r="18" ht="16" customHeight="1">
      <c r="A18" s="66" t="inlineStr">
        <is>
          <t>https://www.ap-technology.com/wp-content/uploads/2019/03/2070-AP_newsletter_Feb2012.pdf</t>
        </is>
      </c>
      <c r="B18" s="24" t="n"/>
      <c r="C18" s="24" t="n"/>
      <c r="D18" s="24" t="n"/>
      <c r="E18" s="24" t="n"/>
      <c r="F18" s="24" t="n"/>
      <c r="G18" s="24" t="n"/>
      <c r="H18" s="24" t="n"/>
      <c r="I18" s="24" t="n"/>
      <c r="J18" s="65" t="n"/>
      <c r="K18" s="61" t="n"/>
    </row>
    <row r="19" ht="16" customHeight="1">
      <c r="A19" s="66" t="inlineStr">
        <is>
          <t>https://s29.q4cdn.com/945634774/files/doc_financials/2018/ar/annual-report-2018.pdf</t>
        </is>
      </c>
      <c r="B19" s="24" t="n"/>
      <c r="C19" s="24" t="n"/>
      <c r="D19" s="24" t="n"/>
      <c r="E19" s="24" t="n"/>
      <c r="F19" s="24" t="n"/>
      <c r="G19" s="24" t="n"/>
      <c r="H19" s="24" t="n"/>
      <c r="I19" s="24" t="n"/>
      <c r="J19" s="65" t="n"/>
      <c r="K19" s="61" t="n"/>
    </row>
    <row r="20" ht="16" customHeight="1">
      <c r="A20" s="66" t="inlineStr">
        <is>
          <t>https://s29.q4cdn.com/945634774/files/doc_financials/2023/ar/alcoa-corp-2023-annual-report-final-bookmarked.pdf</t>
        </is>
      </c>
      <c r="B20" s="24" t="n"/>
      <c r="C20" s="24" t="n"/>
      <c r="D20" s="24" t="n"/>
      <c r="E20" s="24" t="n"/>
      <c r="F20" s="24" t="n"/>
      <c r="G20" s="24" t="n"/>
      <c r="H20" s="24" t="n"/>
      <c r="I20" s="24" t="n"/>
      <c r="J20" s="65" t="n"/>
      <c r="K20" s="61" t="n"/>
    </row>
    <row r="21" ht="16" customHeight="1">
      <c r="A21" s="66" t="inlineStr">
        <is>
          <t>https://www.riotinto.com/en/news/releases/2021/elysis-selects-alma-smelter-for-commercial-size-450-ka-inert-anode-prototype-cells</t>
        </is>
      </c>
      <c r="B21" s="24" t="n"/>
      <c r="C21" s="24" t="n"/>
      <c r="D21" s="24" t="n"/>
      <c r="E21" s="24" t="n"/>
      <c r="F21" s="24" t="n"/>
      <c r="G21" s="24" t="n"/>
      <c r="H21" s="24" t="n"/>
      <c r="I21" s="24" t="n"/>
      <c r="J21" s="65" t="n"/>
      <c r="K21" s="61" t="n"/>
    </row>
    <row r="22" ht="16" customHeight="1">
      <c r="A22" s="64" t="inlineStr">
        <is>
          <t>https://www.international.gc.ca/trade-commerce/controls-controles/aluminum-aluminium/index.aspx?lang=eng</t>
        </is>
      </c>
      <c r="B22" s="24" t="n"/>
      <c r="C22" s="24" t="n"/>
      <c r="D22" s="24" t="n"/>
      <c r="E22" s="24" t="n"/>
      <c r="F22" s="24" t="n"/>
      <c r="G22" s="24" t="n"/>
      <c r="H22" s="24" t="n"/>
      <c r="I22" s="24" t="n"/>
    </row>
    <row r="23" ht="16" customHeight="1">
      <c r="A23" s="24" t="n"/>
      <c r="B23" s="24" t="n"/>
      <c r="C23" s="24" t="n"/>
      <c r="D23" s="24" t="n"/>
      <c r="E23" s="24" t="n"/>
      <c r="F23" s="24" t="n"/>
      <c r="G23" s="24" t="n"/>
      <c r="H23" s="24" t="n"/>
      <c r="I23" s="24" t="n"/>
    </row>
    <row r="24" ht="16" customFormat="1" customHeight="1" s="63">
      <c r="A24" s="22" t="inlineStr">
        <is>
          <t>Method note (long-run marginal suppliers, contemporary aluminium smelting, 2018–2023):</t>
        </is>
      </c>
      <c r="B24" s="24" t="n"/>
      <c r="C24" s="24" t="n"/>
      <c r="D24" s="24" t="n"/>
      <c r="E24" s="24" t="n"/>
      <c r="F24" s="24" t="n"/>
      <c r="G24" s="24" t="n"/>
      <c r="H24" s="24" t="n"/>
      <c r="I24" s="24" t="n"/>
    </row>
    <row r="25">
      <c r="A25" t="inlineStr">
        <is>
          <t>Long-run marginal shares are approximated using an output-trend proxy: for each domestic smelter, ΔV is calculated from reported production in 2018 and 2023; suppliers with ΔV&gt;0 are treated as the expanding set in an increasing/steady market and are normalized over positive ΔV to derive marginal shares. This is a pragmatic consequential-LCI simplification when plant-level capacity investment data and refurbishment schedules are unavailable; results are therefore interpreted as “expansion-by-output proxy” rather than a fully CRR-corrected capacity model. A bounding sensitivity should weight all domestic suppliers by a neutral allocator (e.g., 2023 output shares) to reflect that short-run outages/curtailments can affect observed output without indicating long-run competitiveness.</t>
        </is>
      </c>
    </row>
    <row r="26">
      <c r="A26" s="22" t="inlineStr">
        <is>
          <t>Imports cutoff: Import volumes for billet/ingot-equivalent flows are &lt;0.1% of domestic supply (&lt;&lt; typical LCA significance thresholds). Imports are excluded from the marginal mix because even assigning imports 100% marginality would change domestic marginal shares by &lt;0.1 percentage points; this exclusion is therefore immaterial to results while improving transparency and auditability. (General cut-off-by-insignificance logic is consistent with common LCA guidance; see e.g., federal LCA guidance using 1% cut-off concepts for negligible contributors.)</t>
        </is>
      </c>
    </row>
    <row r="27" ht="16" customHeight="1">
      <c r="A27" s="22" t="inlineStr">
        <is>
          <t>Technology note: All listed smelters are Hall-Héroult; near-term differentiation is primarily driven by regional electricity supply. Inert-anode routes (e.g., ELYSIS-type concepts) are treated as prospective scenario variants rather than assumed in the contemporary base case.</t>
        </is>
      </c>
      <c r="B27" s="64" t="n"/>
      <c r="C27" s="24" t="n"/>
      <c r="D27" s="24" t="n"/>
      <c r="E27" s="24" t="n"/>
      <c r="F27" s="24" t="n"/>
      <c r="G27" s="24" t="n"/>
      <c r="H27" s="24" t="n"/>
      <c r="I27" s="24" t="n"/>
    </row>
    <row r="28" ht="16" customHeight="1">
      <c r="A28" s="22" t="n"/>
      <c r="B28" s="66" t="n"/>
      <c r="D28" s="24" t="n"/>
      <c r="E28" s="24" t="n"/>
      <c r="F28" s="24" t="n"/>
      <c r="G28" s="24" t="n"/>
      <c r="H28" s="24" t="n"/>
      <c r="I28" s="24" t="n"/>
    </row>
    <row r="29" ht="16" customHeight="1">
      <c r="A29" s="66" t="n"/>
      <c r="B29" s="66" t="n"/>
      <c r="C29" s="66" t="n"/>
      <c r="D29" s="24" t="n"/>
      <c r="E29" s="24" t="n"/>
      <c r="F29" s="24" t="n"/>
      <c r="G29" s="24" t="n"/>
      <c r="H29" s="24" t="n"/>
      <c r="I29" s="24" t="n"/>
    </row>
    <row r="30" ht="16" customHeight="1">
      <c r="A30" s="66" t="n"/>
      <c r="B30" s="24" t="n"/>
      <c r="C30" s="24" t="n"/>
      <c r="D30" s="24" t="n"/>
      <c r="E30" s="24" t="n"/>
      <c r="F30" s="24" t="n"/>
      <c r="G30" s="24" t="n"/>
      <c r="H30" s="24" t="n"/>
      <c r="I30" s="24" t="n"/>
    </row>
    <row r="31" ht="16" customHeight="1">
      <c r="A31" s="66" t="n"/>
      <c r="B31" s="24" t="n"/>
      <c r="C31" s="24" t="n"/>
      <c r="D31" s="24" t="n"/>
      <c r="E31" s="24" t="n"/>
      <c r="F31" s="24" t="n"/>
      <c r="G31" s="24" t="n"/>
      <c r="H31" s="24" t="n"/>
      <c r="I31" s="24" t="n"/>
    </row>
    <row r="32" ht="16" customHeight="1">
      <c r="A32" s="66" t="n"/>
      <c r="B32" s="24" t="n"/>
      <c r="C32" s="24" t="n"/>
      <c r="D32" s="24" t="n"/>
      <c r="E32" s="24" t="n"/>
      <c r="F32" s="24" t="n"/>
      <c r="G32" s="24" t="n"/>
      <c r="H32" s="24" t="n"/>
      <c r="I32" s="24" t="n"/>
    </row>
    <row r="33" ht="16" customHeight="1">
      <c r="A33" s="66" t="n"/>
      <c r="B33" s="24" t="n"/>
      <c r="C33" s="24" t="n"/>
      <c r="D33" s="24" t="n"/>
      <c r="E33" s="24" t="n"/>
      <c r="F33" s="24" t="n"/>
      <c r="G33" s="24" t="n"/>
      <c r="H33" s="24" t="n"/>
      <c r="I33" s="24" t="n"/>
    </row>
    <row r="34" ht="16" customHeight="1">
      <c r="A34" s="66" t="n"/>
      <c r="B34" s="24" t="n"/>
      <c r="C34" s="24" t="n"/>
      <c r="D34" s="24" t="n"/>
      <c r="E34" s="24" t="n"/>
      <c r="F34" s="24" t="n"/>
      <c r="G34" s="24" t="n"/>
      <c r="H34" s="24" t="n"/>
      <c r="I34" s="24" t="n"/>
    </row>
    <row r="35" ht="16" customHeight="1">
      <c r="A35" s="24" t="n"/>
      <c r="B35" s="24" t="n"/>
      <c r="C35" s="24" t="n"/>
      <c r="D35" s="24" t="n"/>
      <c r="E35" s="24" t="n"/>
      <c r="F35" s="24" t="n"/>
      <c r="G35" s="24" t="n"/>
      <c r="H35" s="24" t="n"/>
      <c r="I35" s="24" t="n"/>
    </row>
    <row r="36" ht="16" customHeight="1">
      <c r="A36" s="66" t="n"/>
      <c r="B36" s="24" t="n"/>
      <c r="C36" s="24" t="n"/>
      <c r="D36" s="24" t="n"/>
      <c r="E36" s="24" t="n"/>
      <c r="F36" s="24" t="n"/>
      <c r="G36" s="24" t="n"/>
      <c r="H36" s="24" t="n"/>
      <c r="I36" s="24" t="n"/>
    </row>
    <row r="37" ht="16" customHeight="1">
      <c r="B37" s="24" t="n"/>
      <c r="C37" s="24" t="n"/>
      <c r="D37" s="24" t="n"/>
      <c r="E37" s="24" t="n"/>
      <c r="F37" s="24" t="n"/>
      <c r="G37" s="24" t="n"/>
      <c r="H37" s="24" t="n"/>
      <c r="I37" s="24" t="n"/>
    </row>
  </sheetData>
  <mergeCells count="2">
    <mergeCell ref="H1:J1"/>
    <mergeCell ref="K1:L1"/>
  </mergeCells>
  <conditionalFormatting sqref="K3:L9">
    <cfRule type="expression" priority="5" dxfId="0">
      <formula>$J$9&lt;0</formula>
    </cfRule>
  </conditionalFormatting>
  <hyperlinks>
    <hyperlink xmlns:r="http://schemas.openxmlformats.org/officeDocument/2006/relationships" ref="A13" location=":~:text=The%20Canadian%20primary%20aluminium%20industry,1%20plant%20in%20British%20Columbia)." r:id="rId1"/>
    <hyperlink xmlns:r="http://schemas.openxmlformats.org/officeDocument/2006/relationships" ref="A14" r:id="rId2"/>
    <hyperlink xmlns:r="http://schemas.openxmlformats.org/officeDocument/2006/relationships" ref="A22" r:id="rId3"/>
  </hyperlink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Marley Dowling</dc:creator>
  <dcterms:created xmlns:dcterms="http://purl.org/dc/terms/" xmlns:xsi="http://www.w3.org/2001/XMLSchema-instance" xsi:type="dcterms:W3CDTF">2026-01-09T16:35:43Z</dcterms:created>
  <dcterms:modified xmlns:dcterms="http://purl.org/dc/terms/" xmlns:xsi="http://www.w3.org/2001/XMLSchema-instance" xsi:type="dcterms:W3CDTF">2026-03-11T18:19:32Z</dcterms:modified>
  <cp:lastModifiedBy>Marley Dowling</cp:lastModifiedBy>
</cp:coreProperties>
</file>