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12" activeTab="0" autoFilterDateGrouping="1"/>
  </bookViews>
  <sheets>
    <sheet xmlns:r="http://schemas.openxmlformats.org/officeDocument/2006/relationships" name="CA_Elec_Contemp" sheetId="1" state="visible" r:id="rId1"/>
  </sheets>
  <externalReferences>
    <externalReference xmlns:r="http://schemas.openxmlformats.org/officeDocument/2006/relationships"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%"/>
    <numFmt numFmtId="166" formatCode="0.0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1"/>
    </font>
    <font>
      <name val="Aptos Narrow"/>
      <family val="2"/>
      <b val="1"/>
      <color theme="5"/>
      <sz val="11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5"/>
      <sz val="11"/>
    </font>
    <font>
      <name val="Aptos Narrow"/>
      <family val="2"/>
      <color rgb="FFFF0000"/>
      <sz val="11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</font>
    <font>
      <name val="Arial"/>
      <family val="2"/>
      <color rgb="FF333333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  <vertAlign val="superscript"/>
    </font>
    <font>
      <name val="Arial"/>
      <family val="2"/>
      <color theme="0" tint="-0.499984740745262"/>
      <sz val="10"/>
    </font>
    <font>
      <name val="Arial"/>
      <family val="2"/>
      <color theme="0" tint="-0.499984740745262"/>
      <sz val="10"/>
      <vertAlign val="superscript"/>
    </font>
    <font>
      <name val="Arial"/>
      <family val="2"/>
      <b val="1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7" fillId="0" borderId="0"/>
    <xf numFmtId="0" fontId="23" fillId="0" borderId="0"/>
    <xf numFmtId="9" fontId="23" fillId="0" borderId="0"/>
  </cellStyleXfs>
  <cellXfs count="259">
    <xf numFmtId="0" fontId="0" fillId="0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3" borderId="5" pivotButton="0" quotePrefix="0" xfId="0"/>
    <xf numFmtId="0" fontId="3" fillId="3" borderId="0" applyAlignment="1" pivotButton="0" quotePrefix="0" xfId="0">
      <alignment horizontal="center"/>
    </xf>
    <xf numFmtId="0" fontId="4" fillId="0" borderId="5" pivotButton="0" quotePrefix="0" xfId="0"/>
    <xf numFmtId="4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3" fillId="0" borderId="8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0" fontId="3" fillId="0" borderId="0" pivotButton="0" quotePrefix="0" xfId="0"/>
    <xf numFmtId="164" fontId="3" fillId="0" borderId="0" applyAlignment="1" pivotButton="0" quotePrefix="0" xfId="1">
      <alignment horizontal="center"/>
    </xf>
    <xf numFmtId="164" fontId="2" fillId="0" borderId="0" pivotButton="0" quotePrefix="0" xfId="1"/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  <xf numFmtId="0" fontId="2" fillId="0" borderId="0" pivotButton="0" quotePrefix="0" xfId="0"/>
    <xf numFmtId="10" fontId="3" fillId="0" borderId="0" applyAlignment="1" pivotButton="0" quotePrefix="0" xfId="2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4" fillId="0" borderId="9" applyAlignment="1" pivotButton="0" quotePrefix="0" xfId="2">
      <alignment horizontal="center"/>
    </xf>
    <xf numFmtId="0" fontId="3" fillId="3" borderId="12" applyAlignment="1" pivotButton="0" quotePrefix="0" xfId="0">
      <alignment horizontal="center"/>
    </xf>
    <xf numFmtId="0" fontId="4" fillId="0" borderId="13" applyAlignment="1" pivotButton="0" quotePrefix="0" xfId="1">
      <alignment horizontal="center" vertical="center"/>
    </xf>
    <xf numFmtId="10" fontId="4" fillId="0" borderId="13" applyAlignment="1" pivotButton="0" quotePrefix="0" xfId="2">
      <alignment horizontal="center" vertical="center"/>
    </xf>
    <xf numFmtId="0" fontId="3" fillId="0" borderId="1" pivotButton="0" quotePrefix="0" xfId="0"/>
    <xf numFmtId="0" fontId="3" fillId="0" borderId="5" pivotButton="0" quotePrefix="0" xfId="0"/>
    <xf numFmtId="10" fontId="4" fillId="0" borderId="8" applyAlignment="1" pivotButton="0" quotePrefix="0" xfId="2">
      <alignment horizontal="center"/>
    </xf>
    <xf numFmtId="165" fontId="0" fillId="0" borderId="0" pivotButton="0" quotePrefix="0" xfId="2"/>
    <xf numFmtId="10" fontId="0" fillId="0" borderId="0" pivotButton="0" quotePrefix="0" xfId="2"/>
    <xf numFmtId="10" fontId="0" fillId="0" borderId="13" pivotButton="0" quotePrefix="0" xfId="2"/>
    <xf numFmtId="0" fontId="0" fillId="0" borderId="3" pivotButton="0" quotePrefix="0" xfId="0"/>
    <xf numFmtId="10" fontId="0" fillId="0" borderId="10" pivotButton="0" quotePrefix="0" xfId="0"/>
    <xf numFmtId="10" fontId="0" fillId="0" borderId="15" pivotButton="0" quotePrefix="0" xfId="0"/>
    <xf numFmtId="10" fontId="3" fillId="0" borderId="1" applyAlignment="1" pivotButton="0" quotePrefix="0" xfId="0">
      <alignment horizontal="center"/>
    </xf>
    <xf numFmtId="9" fontId="3" fillId="3" borderId="12" applyAlignment="1" pivotButton="0" quotePrefix="0" xfId="2">
      <alignment horizontal="center"/>
    </xf>
    <xf numFmtId="0" fontId="3" fillId="2" borderId="18" applyAlignment="1" pivotButton="0" quotePrefix="0" xfId="0">
      <alignment horizontal="center"/>
    </xf>
    <xf numFmtId="9" fontId="3" fillId="3" borderId="19" applyAlignment="1" pivotButton="0" quotePrefix="0" xfId="2">
      <alignment horizontal="center"/>
    </xf>
    <xf numFmtId="165" fontId="0" fillId="0" borderId="13" pivotButton="0" quotePrefix="0" xfId="2"/>
    <xf numFmtId="165" fontId="0" fillId="0" borderId="14" pivotButton="0" quotePrefix="0" xfId="2"/>
    <xf numFmtId="9" fontId="0" fillId="0" borderId="4" pivotButton="0" quotePrefix="0" xfId="2"/>
    <xf numFmtId="9" fontId="0" fillId="0" borderId="7" pivotButton="0" quotePrefix="0" xfId="2"/>
    <xf numFmtId="9" fontId="0" fillId="0" borderId="11" pivotButton="0" quotePrefix="0" xfId="2"/>
    <xf numFmtId="0" fontId="9" fillId="2" borderId="1" pivotButton="0" quotePrefix="0" xfId="0"/>
    <xf numFmtId="0" fontId="9" fillId="2" borderId="2" pivotButton="0" quotePrefix="0" xfId="0"/>
    <xf numFmtId="0" fontId="9" fillId="2" borderId="3" pivotButton="0" quotePrefix="0" xfId="0"/>
    <xf numFmtId="0" fontId="9" fillId="2" borderId="4" pivotButton="0" quotePrefix="0" xfId="0"/>
    <xf numFmtId="0" fontId="10" fillId="0" borderId="0" pivotButton="0" quotePrefix="0" xfId="0"/>
    <xf numFmtId="0" fontId="11" fillId="0" borderId="5" pivotButton="0" quotePrefix="0" xfId="0"/>
    <xf numFmtId="0" fontId="11" fillId="6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0" fontId="11" fillId="4" borderId="6" applyAlignment="1" pivotButton="0" quotePrefix="0" xfId="0">
      <alignment horizontal="center"/>
    </xf>
    <xf numFmtId="10" fontId="11" fillId="4" borderId="7" applyAlignment="1" pivotButton="0" quotePrefix="0" xfId="0">
      <alignment horizontal="center"/>
    </xf>
    <xf numFmtId="0" fontId="13" fillId="0" borderId="9" pivotButton="0" quotePrefix="0" xfId="0"/>
    <xf numFmtId="0" fontId="9" fillId="3" borderId="2" pivotButton="0" quotePrefix="0" xfId="0"/>
    <xf numFmtId="0" fontId="2" fillId="0" borderId="0" applyAlignment="1" pivotButton="0" quotePrefix="0" xfId="0">
      <alignment vertical="center" wrapText="1"/>
    </xf>
    <xf numFmtId="10" fontId="2" fillId="0" borderId="0" pivotButton="0" quotePrefix="0" xfId="2"/>
    <xf numFmtId="2" fontId="0" fillId="0" borderId="0" pivotButton="0" quotePrefix="0" xfId="0"/>
    <xf numFmtId="0" fontId="7" fillId="0" borderId="0" pivotButton="0" quotePrefix="0" xfId="3"/>
    <xf numFmtId="0" fontId="14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4" fontId="4" fillId="0" borderId="9" applyAlignment="1" pivotButton="0" quotePrefix="0" xfId="0">
      <alignment horizontal="center"/>
    </xf>
    <xf numFmtId="10" fontId="4" fillId="0" borderId="3" applyAlignment="1" pivotButton="0" quotePrefix="0" xfId="0">
      <alignment horizontal="center"/>
    </xf>
    <xf numFmtId="0" fontId="4" fillId="0" borderId="2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10" fontId="3" fillId="0" borderId="21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165" fontId="4" fillId="0" borderId="11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0" fontId="9" fillId="3" borderId="1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0" pivotButton="0" quotePrefix="0" xfId="0"/>
    <xf numFmtId="0" fontId="1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8" pivotButton="0" quotePrefix="0" xfId="0"/>
    <xf numFmtId="0" fontId="13" fillId="0" borderId="9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2" fontId="9" fillId="3" borderId="3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9" fontId="13" fillId="4" borderId="10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9" fontId="13" fillId="4" borderId="11" applyAlignment="1" pivotButton="0" quotePrefix="0" xfId="0">
      <alignment horizont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2" fontId="11" fillId="0" borderId="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2" fontId="13" fillId="0" borderId="10" applyAlignment="1" pivotButton="0" quotePrefix="0" xfId="0">
      <alignment horizontal="center" vertical="center"/>
    </xf>
    <xf numFmtId="10" fontId="0" fillId="0" borderId="0" pivotButton="0" quotePrefix="0" xfId="2"/>
    <xf numFmtId="4" fontId="4" fillId="0" borderId="13" applyAlignment="1" pivotButton="0" quotePrefix="0" xfId="1">
      <alignment horizontal="center" vertical="center"/>
    </xf>
    <xf numFmtId="0" fontId="2" fillId="7" borderId="25" pivotButton="0" quotePrefix="0" xfId="0"/>
    <xf numFmtId="0" fontId="2" fillId="8" borderId="25" pivotButton="0" quotePrefix="0" xfId="0"/>
    <xf numFmtId="0" fontId="0" fillId="0" borderId="25" pivotButton="0" quotePrefix="0" xfId="0"/>
    <xf numFmtId="0" fontId="0" fillId="9" borderId="25" pivotButton="0" quotePrefix="0" xfId="0"/>
    <xf numFmtId="2" fontId="9" fillId="2" borderId="3" pivotButton="0" quotePrefix="0" xfId="0"/>
    <xf numFmtId="0" fontId="9" fillId="3" borderId="5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2" fontId="9" fillId="3" borderId="6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7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0" fontId="11" fillId="0" borderId="5" applyAlignment="1" pivotButton="0" quotePrefix="0" xfId="0">
      <alignment horizontal="center"/>
    </xf>
    <xf numFmtId="10" fontId="11" fillId="0" borderId="0" applyAlignment="1" pivotButton="0" quotePrefix="0" xfId="0">
      <alignment horizontal="center"/>
    </xf>
    <xf numFmtId="2" fontId="11" fillId="0" borderId="6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11" fillId="4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7" fillId="0" borderId="0" pivotButton="0" quotePrefix="0" xfId="0"/>
    <xf numFmtId="0" fontId="13" fillId="0" borderId="0" applyAlignment="1" pivotButton="0" quotePrefix="0" xfId="0">
      <alignment horizontal="center"/>
    </xf>
    <xf numFmtId="10" fontId="18" fillId="0" borderId="8" applyAlignment="1" pivotButton="0" quotePrefix="0" xfId="0">
      <alignment horizontal="center"/>
    </xf>
    <xf numFmtId="2" fontId="13" fillId="0" borderId="10" applyAlignment="1" pivotButton="0" quotePrefix="0" xfId="0">
      <alignment horizontal="center"/>
    </xf>
    <xf numFmtId="10" fontId="13" fillId="4" borderId="1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9" fontId="13" fillId="4" borderId="6" applyAlignment="1" pivotButton="0" quotePrefix="0" xfId="0">
      <alignment horizontal="center"/>
    </xf>
    <xf numFmtId="0" fontId="9" fillId="10" borderId="0" pivotButton="0" quotePrefix="0" xfId="0"/>
    <xf numFmtId="0" fontId="9" fillId="3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0" pivotButton="0" quotePrefix="0" xfId="2"/>
    <xf numFmtId="9" fontId="0" fillId="0" borderId="0" pivotButton="0" quotePrefix="0" xfId="0"/>
    <xf numFmtId="2" fontId="0" fillId="0" borderId="6" pivotButton="0" quotePrefix="0" xfId="0"/>
    <xf numFmtId="0" fontId="16" fillId="0" borderId="5" pivotButton="0" quotePrefix="0" xfId="0"/>
    <xf numFmtId="0" fontId="16" fillId="0" borderId="0" pivotButton="0" quotePrefix="0" xfId="0"/>
    <xf numFmtId="9" fontId="16" fillId="0" borderId="0" pivotButton="0" quotePrefix="0" xfId="2"/>
    <xf numFmtId="10" fontId="19" fillId="4" borderId="6" applyAlignment="1" pivotButton="0" quotePrefix="0" xfId="0">
      <alignment horizontal="center"/>
    </xf>
    <xf numFmtId="0" fontId="20" fillId="0" borderId="0" pivotButton="0" quotePrefix="0" xfId="0"/>
    <xf numFmtId="0" fontId="20" fillId="0" borderId="5" pivotButton="0" quotePrefix="0" xfId="0"/>
    <xf numFmtId="0" fontId="20" fillId="0" borderId="6" pivotButton="0" quotePrefix="0" xfId="0"/>
    <xf numFmtId="9" fontId="20" fillId="0" borderId="0" pivotButton="0" quotePrefix="0" xfId="2"/>
    <xf numFmtId="9" fontId="20" fillId="0" borderId="0" pivotButton="0" quotePrefix="0" xfId="0"/>
    <xf numFmtId="2" fontId="20" fillId="0" borderId="6" pivotButton="0" quotePrefix="0" xfId="0"/>
    <xf numFmtId="10" fontId="21" fillId="4" borderId="7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9" fontId="0" fillId="0" borderId="9" pivotButton="0" quotePrefix="0" xfId="2"/>
    <xf numFmtId="9" fontId="0" fillId="0" borderId="9" pivotButton="0" quotePrefix="0" xfId="0"/>
    <xf numFmtId="2" fontId="0" fillId="0" borderId="10" pivotButton="0" quotePrefix="0" xfId="0"/>
    <xf numFmtId="10" fontId="11" fillId="4" borderId="10" applyAlignment="1" pivotButton="0" quotePrefix="0" xfId="0">
      <alignment horizontal="center"/>
    </xf>
    <xf numFmtId="2" fontId="2" fillId="0" borderId="0" pivotButton="0" quotePrefix="0" xfId="0"/>
    <xf numFmtId="9" fontId="2" fillId="0" borderId="0" pivotButton="0" quotePrefix="0" xfId="2"/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11" fillId="10" borderId="5" pivotButton="0" quotePrefix="0" xfId="0"/>
    <xf numFmtId="0" fontId="9" fillId="0" borderId="0" pivotButton="0" quotePrefix="0" xfId="0"/>
    <xf numFmtId="0" fontId="22" fillId="11" borderId="0" applyAlignment="1" pivotButton="0" quotePrefix="0" xfId="0">
      <alignment horizontal="left" vertical="center" wrapText="1" indent="3"/>
    </xf>
    <xf numFmtId="0" fontId="22" fillId="11" borderId="0" applyAlignment="1" pivotButton="0" quotePrefix="0" xfId="0">
      <alignment horizontal="left" vertical="center" wrapText="1" indent="1"/>
    </xf>
    <xf numFmtId="0" fontId="2" fillId="12" borderId="0" pivotButton="0" quotePrefix="0" xfId="0"/>
    <xf numFmtId="0" fontId="6" fillId="12" borderId="0" pivotButton="0" quotePrefix="0" xfId="0"/>
    <xf numFmtId="0" fontId="14" fillId="12" borderId="0" pivotButton="0" quotePrefix="0" xfId="0"/>
    <xf numFmtId="0" fontId="2" fillId="12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0" fillId="12" borderId="0" applyAlignment="1" pivotButton="0" quotePrefix="0" xfId="0">
      <alignment horizontal="left" vertical="center" indent="1"/>
    </xf>
    <xf numFmtId="2" fontId="0" fillId="12" borderId="0" pivotButton="0" quotePrefix="0" xfId="0"/>
    <xf numFmtId="0" fontId="7" fillId="12" borderId="0" pivotButton="0" quotePrefix="0" xfId="3"/>
    <xf numFmtId="0" fontId="15" fillId="12" borderId="0" pivotButton="0" quotePrefix="0" xfId="0"/>
    <xf numFmtId="0" fontId="8" fillId="12" borderId="0" applyAlignment="1" pivotButton="0" quotePrefix="0" xfId="0">
      <alignment horizontal="left" vertical="center" indent="1"/>
    </xf>
    <xf numFmtId="0" fontId="23" fillId="0" borderId="1" applyAlignment="1" pivotButton="0" quotePrefix="0" xfId="4">
      <alignment vertical="center"/>
    </xf>
    <xf numFmtId="0" fontId="23" fillId="0" borderId="0" applyAlignment="1" pivotButton="0" quotePrefix="0" xfId="4">
      <alignment vertical="center"/>
    </xf>
    <xf numFmtId="0" fontId="23" fillId="0" borderId="2" applyAlignment="1" pivotButton="0" quotePrefix="0" xfId="4">
      <alignment vertical="center"/>
    </xf>
    <xf numFmtId="0" fontId="23" fillId="0" borderId="3" applyAlignment="1" pivotButton="0" quotePrefix="0" xfId="4">
      <alignment vertical="center"/>
    </xf>
    <xf numFmtId="0" fontId="23" fillId="0" borderId="5" applyAlignment="1" pivotButton="0" quotePrefix="0" xfId="4">
      <alignment vertical="center"/>
    </xf>
    <xf numFmtId="0" fontId="23" fillId="0" borderId="6" applyAlignment="1" pivotButton="0" quotePrefix="0" xfId="4">
      <alignment vertical="center"/>
    </xf>
    <xf numFmtId="0" fontId="23" fillId="13" borderId="5" applyAlignment="1" pivotButton="0" quotePrefix="0" xfId="4">
      <alignment vertical="center"/>
    </xf>
    <xf numFmtId="0" fontId="23" fillId="13" borderId="0" applyAlignment="1" pivotButton="0" quotePrefix="0" xfId="4">
      <alignment vertical="center"/>
    </xf>
    <xf numFmtId="0" fontId="23" fillId="13" borderId="6" applyAlignment="1" pivotButton="0" quotePrefix="0" xfId="4">
      <alignment vertical="center"/>
    </xf>
    <xf numFmtId="0" fontId="23" fillId="13" borderId="9" applyAlignment="1" pivotButton="0" quotePrefix="0" xfId="4">
      <alignment vertical="center"/>
    </xf>
    <xf numFmtId="0" fontId="23" fillId="0" borderId="26" applyAlignment="1" pivotButton="0" quotePrefix="0" xfId="4">
      <alignment vertical="center"/>
    </xf>
    <xf numFmtId="0" fontId="23" fillId="0" borderId="17" applyAlignment="1" pivotButton="0" quotePrefix="0" xfId="4">
      <alignment vertical="center"/>
    </xf>
    <xf numFmtId="0" fontId="23" fillId="0" borderId="27" applyAlignment="1" pivotButton="0" quotePrefix="0" xfId="4">
      <alignment vertical="center"/>
    </xf>
    <xf numFmtId="0" fontId="23" fillId="0" borderId="28" applyAlignment="1" pivotButton="0" quotePrefix="0" xfId="4">
      <alignment vertical="center"/>
    </xf>
    <xf numFmtId="0" fontId="23" fillId="0" borderId="29" applyAlignment="1" pivotButton="0" quotePrefix="0" xfId="4">
      <alignment vertical="center"/>
    </xf>
    <xf numFmtId="0" fontId="23" fillId="0" borderId="30" applyAlignment="1" pivotButton="0" quotePrefix="0" xfId="4">
      <alignment vertical="center"/>
    </xf>
    <xf numFmtId="0" fontId="23" fillId="0" borderId="31" applyAlignment="1" pivotButton="0" quotePrefix="0" xfId="4">
      <alignment vertical="center"/>
    </xf>
    <xf numFmtId="0" fontId="23" fillId="0" borderId="32" applyAlignment="1" pivotButton="0" quotePrefix="0" xfId="4">
      <alignment vertical="center"/>
    </xf>
    <xf numFmtId="0" fontId="24" fillId="0" borderId="5" applyAlignment="1" pivotButton="0" quotePrefix="0" xfId="4">
      <alignment vertical="center"/>
    </xf>
    <xf numFmtId="0" fontId="24" fillId="0" borderId="6" applyAlignment="1" pivotButton="0" quotePrefix="0" xfId="4">
      <alignment horizontal="center" vertical="center"/>
    </xf>
    <xf numFmtId="0" fontId="24" fillId="0" borderId="0" applyAlignment="1" pivotButton="0" quotePrefix="0" xfId="4">
      <alignment horizontal="center" vertical="center"/>
    </xf>
    <xf numFmtId="0" fontId="24" fillId="0" borderId="5" applyAlignment="1" pivotButton="0" quotePrefix="0" xfId="4">
      <alignment horizontal="center" vertical="center"/>
    </xf>
    <xf numFmtId="0" fontId="24" fillId="0" borderId="0" applyAlignment="1" pivotButton="0" quotePrefix="0" xfId="4">
      <alignment vertical="center"/>
    </xf>
    <xf numFmtId="0" fontId="24" fillId="0" borderId="6" applyAlignment="1" pivotButton="0" quotePrefix="0" xfId="4">
      <alignment vertical="center"/>
    </xf>
    <xf numFmtId="0" fontId="23" fillId="0" borderId="5" applyAlignment="1" pivotButton="0" quotePrefix="0" xfId="4">
      <alignment vertical="center" wrapText="1"/>
    </xf>
    <xf numFmtId="0" fontId="24" fillId="0" borderId="14" applyAlignment="1" pivotButton="0" quotePrefix="0" xfId="4">
      <alignment horizontal="center" vertical="center" wrapText="1"/>
    </xf>
    <xf numFmtId="0" fontId="24" fillId="0" borderId="25" applyAlignment="1" pivotButton="0" quotePrefix="0" xfId="4">
      <alignment horizontal="center" vertical="center" wrapText="1"/>
    </xf>
    <xf numFmtId="0" fontId="24" fillId="0" borderId="33" applyAlignment="1" pivotButton="0" quotePrefix="0" xfId="4">
      <alignment horizontal="center" vertical="center" wrapText="1"/>
    </xf>
    <xf numFmtId="0" fontId="24" fillId="0" borderId="6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center" vertical="center" wrapText="1"/>
    </xf>
    <xf numFmtId="0" fontId="24" fillId="0" borderId="5" applyAlignment="1" pivotButton="0" quotePrefix="0" xfId="4">
      <alignment horizontal="center" vertical="center" wrapText="1"/>
    </xf>
    <xf numFmtId="0" fontId="23" fillId="0" borderId="0" applyAlignment="1" pivotButton="0" quotePrefix="0" xfId="4">
      <alignment vertical="center" wrapText="1"/>
    </xf>
    <xf numFmtId="0" fontId="25" fillId="0" borderId="0" applyAlignment="1" pivotButton="0" quotePrefix="0" xfId="4">
      <alignment horizontal="center" vertical="center" wrapText="1"/>
    </xf>
    <xf numFmtId="0" fontId="23" fillId="0" borderId="6" applyAlignment="1" pivotButton="0" quotePrefix="0" xfId="4">
      <alignment vertical="center" wrapText="1"/>
    </xf>
    <xf numFmtId="0" fontId="24" fillId="0" borderId="28" applyAlignment="1" pivotButton="0" quotePrefix="0" xfId="4">
      <alignment horizontal="center" vertical="center" wrapText="1"/>
    </xf>
    <xf numFmtId="0" fontId="23" fillId="0" borderId="25" applyAlignment="1" pivotButton="0" quotePrefix="0" xfId="4">
      <alignment horizontal="center" vertical="center"/>
    </xf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" fontId="23" fillId="0" borderId="25" applyAlignment="1" pivotButton="0" quotePrefix="0" xfId="4">
      <alignment horizontal="center" vertical="center"/>
    </xf>
    <xf numFmtId="1" fontId="23" fillId="0" borderId="30" applyAlignment="1" pivotButton="0" quotePrefix="0" xfId="4">
      <alignment horizontal="center" vertical="center"/>
    </xf>
    <xf numFmtId="9" fontId="23" fillId="0" borderId="5" applyAlignment="1" pivotButton="0" quotePrefix="0" xfId="5">
      <alignment vertical="center"/>
    </xf>
    <xf numFmtId="0" fontId="23" fillId="0" borderId="8" applyAlignment="1" pivotButton="0" quotePrefix="0" xfId="4">
      <alignment vertical="center"/>
    </xf>
    <xf numFmtId="0" fontId="23" fillId="0" borderId="34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0" fontId="23" fillId="0" borderId="9" applyAlignment="1" pivotButton="0" quotePrefix="0" xfId="4">
      <alignment vertical="center"/>
    </xf>
    <xf numFmtId="166" fontId="23" fillId="0" borderId="9" applyAlignment="1" pivotButton="0" quotePrefix="0" xfId="4">
      <alignment horizontal="center" vertical="center"/>
    </xf>
    <xf numFmtId="1" fontId="23" fillId="0" borderId="35" applyAlignment="1" pivotButton="0" quotePrefix="0" xfId="4">
      <alignment horizontal="center" vertical="center"/>
    </xf>
    <xf numFmtId="0" fontId="23" fillId="0" borderId="10" applyAlignment="1" pivotButton="0" quotePrefix="0" xfId="4">
      <alignment vertical="center"/>
    </xf>
    <xf numFmtId="0" fontId="27" fillId="0" borderId="0" applyAlignment="1" pivotButton="0" quotePrefix="0" xfId="4">
      <alignment horizontal="left" vertical="center"/>
    </xf>
    <xf numFmtId="0" fontId="27" fillId="0" borderId="0" applyAlignment="1" pivotButton="0" quotePrefix="0" xfId="4">
      <alignment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" fontId="23" fillId="0" borderId="34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vertical="center" wrapText="1"/>
    </xf>
    <xf numFmtId="166" fontId="29" fillId="0" borderId="0" applyAlignment="1" pivotButton="0" quotePrefix="0" xfId="4">
      <alignment vertical="center" wrapText="1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22" applyAlignment="1" pivotButton="0" quotePrefix="0" xfId="0">
      <alignment horizontal="center"/>
    </xf>
    <xf numFmtId="0" fontId="9" fillId="2" borderId="23" applyAlignment="1" pivotButton="0" quotePrefix="0" xfId="0">
      <alignment horizontal="center"/>
    </xf>
    <xf numFmtId="0" fontId="9" fillId="2" borderId="24" applyAlignment="1" pivotButton="0" quotePrefix="0" xfId="0">
      <alignment horizontal="center"/>
    </xf>
    <xf numFmtId="0" fontId="24" fillId="0" borderId="26" applyAlignment="1" pivotButton="0" quotePrefix="0" xfId="4">
      <alignment horizontal="center" vertical="center"/>
    </xf>
    <xf numFmtId="0" fontId="24" fillId="0" borderId="33" applyAlignment="1" pivotButton="0" quotePrefix="0" xfId="4">
      <alignment horizontal="center" vertical="center"/>
    </xf>
    <xf numFmtId="0" fontId="24" fillId="0" borderId="13" applyAlignment="1" pivotButton="0" quotePrefix="0" xfId="4">
      <alignment horizontal="center" vertical="center"/>
    </xf>
    <xf numFmtId="0" fontId="24" fillId="0" borderId="14" applyAlignment="1" pivotButton="0" quotePrefix="0" xfId="4">
      <alignment horizontal="center" vertical="center"/>
    </xf>
    <xf numFmtId="0" fontId="24" fillId="0" borderId="18" applyAlignment="1" pivotButton="0" quotePrefix="0" xfId="4">
      <alignment horizontal="center" vertical="center"/>
    </xf>
    <xf numFmtId="0" fontId="24" fillId="0" borderId="12" applyAlignment="1" pivotButton="0" quotePrefix="0" xfId="4">
      <alignment horizontal="center" vertical="center"/>
    </xf>
    <xf numFmtId="0" fontId="24" fillId="0" borderId="28" applyAlignment="1" pivotButton="0" quotePrefix="0" xfId="4">
      <alignment horizontal="center" vertical="center"/>
    </xf>
    <xf numFmtId="0" fontId="24" fillId="0" borderId="30" applyAlignment="1" pivotButton="0" quotePrefix="0" xfId="4">
      <alignment horizontal="center" vertical="center"/>
    </xf>
    <xf numFmtId="0" fontId="24" fillId="0" borderId="29" applyAlignment="1" pivotButton="0" quotePrefix="0" xfId="4">
      <alignment horizontal="center" vertical="center"/>
    </xf>
    <xf numFmtId="0" fontId="0" fillId="0" borderId="17" pivotButton="0" quotePrefix="0" xfId="0"/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165" fontId="4" fillId="0" borderId="9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164" fontId="2" fillId="0" borderId="0" pivotButton="0" quotePrefix="0" xfId="1"/>
    <xf numFmtId="164" fontId="3" fillId="0" borderId="0" applyAlignment="1" pivotButton="0" quotePrefix="0" xfId="1">
      <alignment horizontal="center"/>
    </xf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</cellXfs>
  <cellStyles count="6">
    <cellStyle name="Normal" xfId="0" builtinId="0"/>
    <cellStyle name="Comma" xfId="1" builtinId="3"/>
    <cellStyle name="Percent" xfId="2" builtinId="5"/>
    <cellStyle name="Hyperlink" xfId="3" builtinId="8"/>
    <cellStyle name="Normal 10" xfId="4"/>
    <cellStyle name="Percent 2" xfId="5"/>
  </cellStyles>
  <dxfs count="6"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tc={ED533779-6BBB-4FCD-8EE6-B2762D304A0E}</author>
    <author>tc={3F0040DB-4687-40A4-B884-84DF0C73A9B9}</author>
    <author>tc={2C69E7D1-1CAD-4D31-B6BC-8E51E473C406}</author>
  </authors>
  <commentList>
    <comment ref="D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https://consequential-lca.org/clca/marginal-suppliers/the-special-case-of-electricity/example-marginal-electricity-in-denmark/</t>
      </text>
    </comment>
    <comment ref="A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https://www.cer-rec.gc.ca/en/data-analysis/energy-markets/market-snapshots/2025/market-snapshot-overview-of-canada-us-energy-trade.html</t>
      </text>
    </comment>
    <comment ref="A1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All other imports are basically negligible
Reply:
    https://www150.statcan.gc.ca/n1/pub/71-607-x/2021004/imp-eng.htm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uofwaterloo-my.sharepoint.com/personal/mkldowli_uwaterloo_ca/Documents/1_MASc/3_Theoretical%20Analysis/LCA%20Analysis/Brightway/LC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I"/>
      <sheetName val="LCI (2)"/>
      <sheetName val="Search Terms"/>
      <sheetName val="Ontario Elec. Example_Future"/>
      <sheetName val="Ontario Elec. Example_Current"/>
      <sheetName val="Imports v Exports Elec."/>
      <sheetName val="AB Elec. Example_Current"/>
      <sheetName val="BC Elec. Example_Current"/>
      <sheetName val="QC Elec. Example_Current"/>
      <sheetName val="Canada Elec Example_Current_new"/>
      <sheetName val="Canada Elec Example_Current_old"/>
      <sheetName val="CA Elec Imports_2024"/>
      <sheetName val="CA Elec Imports_2022"/>
      <sheetName val="CA Elec Imports_2020"/>
      <sheetName val="CA Elec Imports_2019"/>
      <sheetName val="All Alum. Producers"/>
      <sheetName val="All Alum. Producers_no_imports"/>
      <sheetName val="Alum_Production_Current_billet"/>
      <sheetName val="Alum_Production_Prospect_billet"/>
      <sheetName val="Alum_Production_Current_profile"/>
      <sheetName val="Alum_Production_Prospect_profil"/>
      <sheetName val="Alum. Production_Future_New"/>
      <sheetName val="Int._Alum_Imports_2019"/>
      <sheetName val="Int._Alum_Imports_2023"/>
      <sheetName val="Hydrogen_Prod_Current"/>
      <sheetName val="Hydrogen_Prod_Future"/>
      <sheetName val="AB Hydrogen Production Calcs"/>
      <sheetName val="Crude_Steel Production_Overall"/>
      <sheetName val="Crude_Steel Production_Current"/>
      <sheetName val="Int._Steel_Imports"/>
      <sheetName val="Downstream_Steel_Prods_Current"/>
      <sheetName val="Mass Timber Production_Base"/>
      <sheetName val="Mass Timber Production_Current"/>
      <sheetName val="Mass Timber Production_Future"/>
      <sheetName val="Glass_Production_Current"/>
      <sheetName val="Int._680610_Imports_2022"/>
      <sheetName val="Int._701980_Imports"/>
      <sheetName val="Ins_Production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United Arab Emirates</v>
          </cell>
          <cell r="C2">
            <v>1859.50389</v>
          </cell>
          <cell r="H2">
            <v>7235.6415800000004</v>
          </cell>
        </row>
        <row r="3">
          <cell r="B3" t="str">
            <v>Albania</v>
          </cell>
          <cell r="C3">
            <v>23.635999999999999</v>
          </cell>
          <cell r="H3">
            <v>434.30691000000002</v>
          </cell>
        </row>
        <row r="4">
          <cell r="B4" t="str">
            <v>Argentina</v>
          </cell>
          <cell r="H4">
            <v>5.5472299999999999</v>
          </cell>
        </row>
        <row r="5">
          <cell r="B5" t="str">
            <v>Austria</v>
          </cell>
          <cell r="C5">
            <v>368.76584000000003</v>
          </cell>
          <cell r="H5">
            <v>912.7192</v>
          </cell>
        </row>
        <row r="6">
          <cell r="B6" t="str">
            <v>Australia</v>
          </cell>
          <cell r="C6">
            <v>3.03823</v>
          </cell>
          <cell r="H6">
            <v>5749.81477</v>
          </cell>
        </row>
        <row r="7">
          <cell r="B7" t="str">
            <v>Azerbaijan</v>
          </cell>
          <cell r="C7">
            <v>99.897000000000006</v>
          </cell>
          <cell r="H7">
            <v>189.57312999999999</v>
          </cell>
        </row>
        <row r="8">
          <cell r="B8" t="str">
            <v>Bosnia and Herzegovina</v>
          </cell>
          <cell r="C8">
            <v>0.63368000000000002</v>
          </cell>
          <cell r="H8">
            <v>21.030090000000001</v>
          </cell>
        </row>
        <row r="9">
          <cell r="B9" t="str">
            <v>Belgium</v>
          </cell>
          <cell r="C9">
            <v>316.40962000000002</v>
          </cell>
          <cell r="H9">
            <v>3681.6550400000001</v>
          </cell>
        </row>
        <row r="10">
          <cell r="B10" t="str">
            <v>Bulgaria</v>
          </cell>
          <cell r="H10">
            <v>111.29968</v>
          </cell>
        </row>
        <row r="11">
          <cell r="B11" t="str">
            <v>Bahrain</v>
          </cell>
          <cell r="C11">
            <v>1648.2999</v>
          </cell>
          <cell r="H11">
            <v>9587.3621500000008</v>
          </cell>
        </row>
        <row r="12">
          <cell r="B12" t="str">
            <v>Brazil</v>
          </cell>
          <cell r="C12">
            <v>45.148670000000003</v>
          </cell>
          <cell r="H12">
            <v>119.0989</v>
          </cell>
        </row>
        <row r="13">
          <cell r="B13" t="str">
            <v>Belarus</v>
          </cell>
          <cell r="H13">
            <v>14.76126</v>
          </cell>
        </row>
        <row r="14">
          <cell r="B14" t="str">
            <v>Belize</v>
          </cell>
          <cell r="H14">
            <v>15.67398</v>
          </cell>
        </row>
        <row r="15">
          <cell r="B15" t="str">
            <v>Switzerland</v>
          </cell>
          <cell r="C15">
            <v>72.447320000000005</v>
          </cell>
          <cell r="H15">
            <v>116.11454000000001</v>
          </cell>
        </row>
        <row r="16">
          <cell r="B16" t="str">
            <v>China</v>
          </cell>
          <cell r="C16">
            <v>43160.16865</v>
          </cell>
          <cell r="H16">
            <v>196974.26169000001</v>
          </cell>
        </row>
        <row r="17">
          <cell r="B17" t="str">
            <v>Colombia</v>
          </cell>
          <cell r="C17">
            <v>0.54117999999999999</v>
          </cell>
          <cell r="H17">
            <v>14.531370000000001</v>
          </cell>
        </row>
        <row r="18">
          <cell r="B18" t="str">
            <v>Czechia</v>
          </cell>
          <cell r="C18">
            <v>369.04520000000002</v>
          </cell>
          <cell r="H18">
            <v>123.74845999999999</v>
          </cell>
        </row>
        <row r="19">
          <cell r="B19" t="str">
            <v>Germany</v>
          </cell>
          <cell r="C19">
            <v>5301.1532500000003</v>
          </cell>
          <cell r="H19">
            <v>17213.591230000002</v>
          </cell>
        </row>
        <row r="20">
          <cell r="B20" t="str">
            <v>Denmark</v>
          </cell>
          <cell r="C20">
            <v>1.1100000000000001</v>
          </cell>
          <cell r="H20">
            <v>1.59494</v>
          </cell>
        </row>
        <row r="21">
          <cell r="B21" t="str">
            <v>Dominican Republic</v>
          </cell>
          <cell r="H21">
            <v>225.5779</v>
          </cell>
        </row>
        <row r="22">
          <cell r="B22" t="str">
            <v>Algeria</v>
          </cell>
          <cell r="H22">
            <v>0.96057000000000003</v>
          </cell>
        </row>
        <row r="23">
          <cell r="B23" t="str">
            <v>Ecuador</v>
          </cell>
          <cell r="H23">
            <v>51.120930000000001</v>
          </cell>
        </row>
        <row r="24">
          <cell r="B24" t="str">
            <v>Egypt</v>
          </cell>
          <cell r="C24">
            <v>3.0794199999999998</v>
          </cell>
          <cell r="H24">
            <v>126.605</v>
          </cell>
        </row>
        <row r="25">
          <cell r="B25" t="str">
            <v>Spain</v>
          </cell>
          <cell r="C25">
            <v>1991.6153999999999</v>
          </cell>
          <cell r="H25">
            <v>4865.8932399999994</v>
          </cell>
        </row>
        <row r="26">
          <cell r="B26" t="str">
            <v>Ethiopia</v>
          </cell>
          <cell r="H26">
            <v>3.4929999999999999</v>
          </cell>
        </row>
        <row r="27">
          <cell r="B27" t="str">
            <v>Finland</v>
          </cell>
          <cell r="C27">
            <v>39.777000000000001</v>
          </cell>
          <cell r="H27">
            <v>925.00328999999999</v>
          </cell>
        </row>
        <row r="28">
          <cell r="B28" t="str">
            <v>France</v>
          </cell>
          <cell r="C28">
            <v>1025.1135200000001</v>
          </cell>
          <cell r="H28">
            <v>707.13518999999997</v>
          </cell>
        </row>
        <row r="29">
          <cell r="B29" t="str">
            <v>United Kingdom</v>
          </cell>
          <cell r="C29">
            <v>561.22299999999996</v>
          </cell>
          <cell r="H29">
            <v>1541.58412</v>
          </cell>
        </row>
        <row r="30">
          <cell r="B30" t="str">
            <v>Greece</v>
          </cell>
          <cell r="C30">
            <v>451.27931999999998</v>
          </cell>
          <cell r="H30">
            <v>2182.3042700000001</v>
          </cell>
        </row>
        <row r="31">
          <cell r="B31" t="str">
            <v>Hong Kong</v>
          </cell>
          <cell r="C31">
            <v>210.06190000000001</v>
          </cell>
          <cell r="H31">
            <v>303.13977</v>
          </cell>
        </row>
        <row r="32">
          <cell r="B32" t="str">
            <v>Croatia</v>
          </cell>
          <cell r="C32">
            <v>157.89976999999999</v>
          </cell>
          <cell r="H32">
            <v>649.23327000000006</v>
          </cell>
        </row>
        <row r="33">
          <cell r="B33" t="str">
            <v>Hungary</v>
          </cell>
          <cell r="C33">
            <v>42.029000000000003</v>
          </cell>
          <cell r="H33">
            <v>4.5359999999999996</v>
          </cell>
        </row>
        <row r="34">
          <cell r="B34" t="str">
            <v>Indonesia</v>
          </cell>
          <cell r="C34">
            <v>1098.6394600000001</v>
          </cell>
          <cell r="H34">
            <v>3527.3376400000002</v>
          </cell>
        </row>
        <row r="35">
          <cell r="B35" t="str">
            <v>Ireland</v>
          </cell>
          <cell r="H35">
            <v>10.25</v>
          </cell>
        </row>
        <row r="36">
          <cell r="B36" t="str">
            <v>Israel</v>
          </cell>
          <cell r="C36">
            <v>80.607120000000009</v>
          </cell>
          <cell r="H36">
            <v>77.324590000000001</v>
          </cell>
        </row>
        <row r="37">
          <cell r="B37" t="str">
            <v>India</v>
          </cell>
          <cell r="C37">
            <v>2398.37635</v>
          </cell>
          <cell r="H37">
            <v>8239.4035800000001</v>
          </cell>
        </row>
        <row r="38">
          <cell r="B38" t="str">
            <v>Iceland</v>
          </cell>
          <cell r="C38">
            <v>2630.5920000000001</v>
          </cell>
          <cell r="H38">
            <v>4075.4781400000002</v>
          </cell>
        </row>
        <row r="39">
          <cell r="B39" t="str">
            <v>Italy</v>
          </cell>
          <cell r="C39">
            <v>1001.06268</v>
          </cell>
          <cell r="H39">
            <v>5730.3993700000001</v>
          </cell>
        </row>
        <row r="40">
          <cell r="B40" t="str">
            <v>Jordan</v>
          </cell>
          <cell r="C40">
            <v>21.817</v>
          </cell>
          <cell r="H40">
            <v>164.56656000000001</v>
          </cell>
        </row>
        <row r="41">
          <cell r="B41" t="str">
            <v>Japan</v>
          </cell>
          <cell r="C41">
            <v>236.77676</v>
          </cell>
          <cell r="H41">
            <v>865.19711999999993</v>
          </cell>
        </row>
        <row r="42">
          <cell r="B42" t="str">
            <v>Kenya</v>
          </cell>
          <cell r="H42">
            <v>21.330190000000002</v>
          </cell>
        </row>
        <row r="43">
          <cell r="B43" t="str">
            <v>South Korea</v>
          </cell>
          <cell r="C43">
            <v>1133.19471</v>
          </cell>
          <cell r="H43">
            <v>3379.1637099999998</v>
          </cell>
        </row>
        <row r="44">
          <cell r="B44" t="str">
            <v>Kazakhstan</v>
          </cell>
          <cell r="H44">
            <v>761.56940999999995</v>
          </cell>
        </row>
        <row r="45">
          <cell r="B45" t="str">
            <v>Lebanon</v>
          </cell>
          <cell r="C45">
            <v>0.86660000000000004</v>
          </cell>
          <cell r="H45">
            <v>0.88922999999999996</v>
          </cell>
        </row>
        <row r="46">
          <cell r="B46" t="str">
            <v>Sri Lanka</v>
          </cell>
          <cell r="H46">
            <v>5.4972000000000003</v>
          </cell>
        </row>
        <row r="47">
          <cell r="B47" t="str">
            <v>Lithuania</v>
          </cell>
          <cell r="H47">
            <v>1.12636</v>
          </cell>
        </row>
        <row r="48">
          <cell r="B48" t="str">
            <v>Luxembourg</v>
          </cell>
          <cell r="C48">
            <v>458.51799999999997</v>
          </cell>
          <cell r="H48">
            <v>93.231999999999999</v>
          </cell>
        </row>
        <row r="49">
          <cell r="B49" t="str">
            <v>Macau</v>
          </cell>
          <cell r="C49">
            <v>3.24</v>
          </cell>
        </row>
        <row r="50">
          <cell r="B50" t="str">
            <v>Mexico</v>
          </cell>
          <cell r="C50">
            <v>121.29721000000001</v>
          </cell>
          <cell r="H50">
            <v>3463.6620800000001</v>
          </cell>
        </row>
        <row r="51">
          <cell r="B51" t="str">
            <v>Malaysia</v>
          </cell>
          <cell r="C51">
            <v>3208.96054</v>
          </cell>
          <cell r="H51">
            <v>10002.72155</v>
          </cell>
        </row>
        <row r="52">
          <cell r="B52" t="str">
            <v>Netherlands</v>
          </cell>
          <cell r="C52">
            <v>892.03651000000002</v>
          </cell>
          <cell r="H52">
            <v>1966.3293100000001</v>
          </cell>
        </row>
        <row r="53">
          <cell r="B53" t="str">
            <v>Norway</v>
          </cell>
          <cell r="C53">
            <v>18.15503</v>
          </cell>
          <cell r="H53">
            <v>74.533180000000002</v>
          </cell>
        </row>
        <row r="54">
          <cell r="B54" t="str">
            <v>Niue</v>
          </cell>
          <cell r="H54">
            <v>2.3176299999999999</v>
          </cell>
        </row>
        <row r="55">
          <cell r="B55" t="str">
            <v>New Zealand</v>
          </cell>
          <cell r="C55">
            <v>19.643619999999999</v>
          </cell>
          <cell r="H55">
            <v>102.06871</v>
          </cell>
        </row>
        <row r="56">
          <cell r="B56" t="str">
            <v>Oman</v>
          </cell>
          <cell r="C56">
            <v>367.48041999999998</v>
          </cell>
          <cell r="H56">
            <v>211.04155</v>
          </cell>
        </row>
        <row r="57">
          <cell r="B57" t="str">
            <v>Peru</v>
          </cell>
          <cell r="H57">
            <v>7.4950000000000001</v>
          </cell>
        </row>
        <row r="58">
          <cell r="B58" t="str">
            <v>Philippines</v>
          </cell>
          <cell r="C58">
            <v>117.565</v>
          </cell>
          <cell r="H58">
            <v>54.753459999999997</v>
          </cell>
        </row>
        <row r="59">
          <cell r="B59" t="str">
            <v>Poland</v>
          </cell>
          <cell r="C59">
            <v>1398.56873</v>
          </cell>
          <cell r="H59">
            <v>552.90202999999997</v>
          </cell>
        </row>
        <row r="60">
          <cell r="B60" t="str">
            <v>Portugal</v>
          </cell>
          <cell r="C60">
            <v>10.300599999999999</v>
          </cell>
          <cell r="H60">
            <v>72.886709999999994</v>
          </cell>
        </row>
        <row r="61">
          <cell r="B61" t="str">
            <v>Qatar</v>
          </cell>
          <cell r="C61">
            <v>1939.9127900000001</v>
          </cell>
          <cell r="H61">
            <v>12265.01737</v>
          </cell>
        </row>
        <row r="62">
          <cell r="B62" t="str">
            <v>Romania</v>
          </cell>
          <cell r="C62">
            <v>297.43650000000002</v>
          </cell>
          <cell r="H62">
            <v>26.30856</v>
          </cell>
        </row>
        <row r="63">
          <cell r="B63" t="str">
            <v>Serbia</v>
          </cell>
          <cell r="H63">
            <v>45.186</v>
          </cell>
        </row>
        <row r="64">
          <cell r="B64" t="str">
            <v>Russia</v>
          </cell>
          <cell r="C64">
            <v>792.6386</v>
          </cell>
          <cell r="H64">
            <v>6.68</v>
          </cell>
        </row>
        <row r="65">
          <cell r="B65" t="str">
            <v>Saudi Arabia</v>
          </cell>
          <cell r="C65">
            <v>8854.9955300000001</v>
          </cell>
          <cell r="H65">
            <v>3161.02738</v>
          </cell>
        </row>
        <row r="66">
          <cell r="B66" t="str">
            <v>Sweden</v>
          </cell>
          <cell r="C66">
            <v>18.692430000000002</v>
          </cell>
          <cell r="H66">
            <v>181.85470000000001</v>
          </cell>
        </row>
        <row r="67">
          <cell r="B67" t="str">
            <v>Singapore</v>
          </cell>
          <cell r="C67">
            <v>28.106999999999999</v>
          </cell>
          <cell r="H67">
            <v>99.171859999999995</v>
          </cell>
        </row>
        <row r="68">
          <cell r="B68" t="str">
            <v>Slovenia</v>
          </cell>
          <cell r="C68">
            <v>106.91233</v>
          </cell>
          <cell r="H68">
            <v>1431.84707</v>
          </cell>
        </row>
        <row r="69">
          <cell r="B69" t="str">
            <v>Slovakia</v>
          </cell>
          <cell r="C69">
            <v>13.05954</v>
          </cell>
          <cell r="H69">
            <v>25.535530000000001</v>
          </cell>
        </row>
        <row r="70">
          <cell r="B70" t="str">
            <v>El Salvador</v>
          </cell>
          <cell r="C70">
            <v>2.6233300000000002</v>
          </cell>
          <cell r="H70">
            <v>94.863630000000001</v>
          </cell>
        </row>
        <row r="71">
          <cell r="B71" t="str">
            <v>Thailand</v>
          </cell>
          <cell r="C71">
            <v>1095.0960399999999</v>
          </cell>
          <cell r="H71">
            <v>2086.6016399999999</v>
          </cell>
        </row>
        <row r="72">
          <cell r="B72" t="str">
            <v>Tokelau</v>
          </cell>
          <cell r="H72">
            <v>19.422000000000001</v>
          </cell>
        </row>
        <row r="73">
          <cell r="B73" t="str">
            <v>Turkey</v>
          </cell>
          <cell r="C73">
            <v>4831.5057200000001</v>
          </cell>
          <cell r="H73">
            <v>14755.206319999999</v>
          </cell>
        </row>
        <row r="74">
          <cell r="B74" t="str">
            <v>Taiwan</v>
          </cell>
          <cell r="C74">
            <v>762.79637000000002</v>
          </cell>
          <cell r="H74">
            <v>3125.8324200000002</v>
          </cell>
        </row>
        <row r="75">
          <cell r="B75" t="str">
            <v>Ukraine</v>
          </cell>
          <cell r="C75">
            <v>0.97385999999999995</v>
          </cell>
        </row>
        <row r="76">
          <cell r="B76" t="str">
            <v>United States</v>
          </cell>
          <cell r="C76">
            <v>132484.91026999999</v>
          </cell>
          <cell r="H76">
            <v>417164.91106999991</v>
          </cell>
        </row>
        <row r="77">
          <cell r="B77" t="str">
            <v>Uzbekistan</v>
          </cell>
          <cell r="C77">
            <v>74.734920000000002</v>
          </cell>
          <cell r="H77">
            <v>124.92944</v>
          </cell>
        </row>
        <row r="78">
          <cell r="B78" t="str">
            <v>Vietnam</v>
          </cell>
          <cell r="C78">
            <v>2428.8871100000001</v>
          </cell>
          <cell r="H78">
            <v>13905.90921</v>
          </cell>
        </row>
        <row r="79">
          <cell r="B79" t="str">
            <v>South Africa</v>
          </cell>
          <cell r="C79">
            <v>81.964650000000006</v>
          </cell>
          <cell r="H79">
            <v>200.79589999999999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2" sqref="A12"/>
    </sheetView>
  </sheetViews>
  <sheetFormatPr baseColWidth="8" defaultColWidth="8.81640625" defaultRowHeight="14.5"/>
  <cols>
    <col width="21.36328125" customWidth="1" min="1" max="1"/>
    <col width="11.453125" customWidth="1" min="2" max="2"/>
    <col width="10.1796875" bestFit="1" customWidth="1" min="3" max="3"/>
    <col width="8.1796875" bestFit="1" customWidth="1" min="4" max="4"/>
    <col width="24.7265625" bestFit="1" customWidth="1" min="5" max="5"/>
    <col width="10" bestFit="1" customWidth="1" min="6" max="6"/>
    <col width="40" bestFit="1" customWidth="1" min="7" max="7"/>
  </cols>
  <sheetData>
    <row r="1">
      <c r="A1" s="1" t="inlineStr">
        <is>
          <t>Input data</t>
        </is>
      </c>
      <c r="B1" s="2" t="n"/>
      <c r="C1" s="2" t="n"/>
      <c r="D1" s="3" t="n"/>
      <c r="E1" s="235" t="inlineStr">
        <is>
          <t>Intermediate calculations</t>
        </is>
      </c>
      <c r="F1" s="250" t="n"/>
      <c r="G1" s="237" t="inlineStr">
        <is>
          <t>Long-Run Marginal Shares</t>
        </is>
      </c>
    </row>
    <row r="2">
      <c r="A2" s="4" t="inlineStr">
        <is>
          <t>Supplier</t>
        </is>
      </c>
      <c r="B2" s="5" t="inlineStr">
        <is>
          <t>GWh 2025</t>
        </is>
      </c>
      <c r="C2" s="5" t="inlineStr">
        <is>
          <t>GWh 2030</t>
        </is>
      </c>
      <c r="D2" s="5" t="inlineStr">
        <is>
          <t>Lifetime</t>
        </is>
      </c>
      <c r="E2" s="28" t="inlineStr">
        <is>
          <t>Net change over horizon (ΔV)</t>
        </is>
      </c>
      <c r="F2" s="28" t="inlineStr">
        <is>
          <t>Positive ΔV</t>
        </is>
      </c>
      <c r="G2" s="28" t="inlineStr">
        <is>
          <t>Normalized Shares Computed Over Positive ΔV</t>
        </is>
      </c>
    </row>
    <row r="3">
      <c r="A3" s="6" t="inlineStr">
        <is>
          <t>Hydro / Wave / Tidal</t>
        </is>
      </c>
      <c r="B3" s="7" t="n">
        <v>403350.84</v>
      </c>
      <c r="C3" s="8" t="n">
        <v>437850.35</v>
      </c>
      <c r="D3" s="10" t="n">
        <v>100</v>
      </c>
      <c r="E3" s="29">
        <f>(C3-B3)</f>
        <v/>
      </c>
      <c r="F3" s="29">
        <f>IF(E3&gt;0,E3,0)</f>
        <v/>
      </c>
      <c r="G3" s="30">
        <f>F3/$F$11</f>
        <v/>
      </c>
      <c r="J3" s="9" t="n"/>
      <c r="K3" s="97" t="n"/>
    </row>
    <row r="4">
      <c r="A4" s="6" t="inlineStr">
        <is>
          <t>Wind</t>
        </is>
      </c>
      <c r="B4" s="8" t="n">
        <v>57101.81</v>
      </c>
      <c r="C4" s="8" t="n">
        <v>80824.64</v>
      </c>
      <c r="D4" s="25" t="n">
        <v>20</v>
      </c>
      <c r="E4" s="29">
        <f>(C4-B4)</f>
        <v/>
      </c>
      <c r="F4" s="29">
        <f>IF(E4&gt;0,E4,0)</f>
        <v/>
      </c>
      <c r="G4" s="30">
        <f>F4/$F$11</f>
        <v/>
      </c>
      <c r="J4" s="9" t="n"/>
      <c r="K4" s="97" t="n"/>
    </row>
    <row r="5">
      <c r="A5" s="9" t="inlineStr">
        <is>
          <t>Biomass / Geothermal</t>
        </is>
      </c>
      <c r="B5" s="8" t="n">
        <v>7838.55</v>
      </c>
      <c r="C5" s="8" t="n">
        <v>9204.799999999999</v>
      </c>
      <c r="D5" s="10" t="n">
        <v>45</v>
      </c>
      <c r="E5" s="29">
        <f>(C5-B5)</f>
        <v/>
      </c>
      <c r="F5" s="29">
        <f>IF(E5&gt;0,E5,0)</f>
        <v/>
      </c>
      <c r="G5" s="30">
        <f>F5/$F$11</f>
        <v/>
      </c>
      <c r="J5" s="9" t="n"/>
      <c r="K5" s="97" t="n"/>
    </row>
    <row r="6">
      <c r="A6" s="6" t="inlineStr">
        <is>
          <t>Solar</t>
        </is>
      </c>
      <c r="B6" s="8" t="n">
        <v>12140.31</v>
      </c>
      <c r="C6" s="8" t="n">
        <v>13504.24</v>
      </c>
      <c r="D6" s="10" t="n">
        <v>30</v>
      </c>
      <c r="E6" s="29">
        <f>(C6-B6)</f>
        <v/>
      </c>
      <c r="F6" s="29">
        <f>IF(E6&gt;0,E6,0)</f>
        <v/>
      </c>
      <c r="G6" s="30">
        <f>F6/$F$11</f>
        <v/>
      </c>
      <c r="J6" s="9" t="n"/>
      <c r="K6" s="97" t="n"/>
    </row>
    <row r="7">
      <c r="A7" s="6" t="inlineStr">
        <is>
          <t>Uranium</t>
        </is>
      </c>
      <c r="B7" s="8" t="n">
        <v>78631.37</v>
      </c>
      <c r="C7" s="8" t="n">
        <v>82253.63</v>
      </c>
      <c r="D7" s="10" t="n">
        <v>30</v>
      </c>
      <c r="E7" s="29">
        <f>(C7-B7)</f>
        <v/>
      </c>
      <c r="F7" s="29">
        <f>IF(E7&gt;0,E7,0)</f>
        <v/>
      </c>
      <c r="G7" s="30">
        <f>F7/$F$11</f>
        <v/>
      </c>
      <c r="J7" s="9" t="n"/>
      <c r="K7" s="97" t="n"/>
    </row>
    <row r="8">
      <c r="A8" s="6" t="inlineStr">
        <is>
          <t>Coal &amp; Coke</t>
        </is>
      </c>
      <c r="B8" s="8" t="n">
        <v>8132.43</v>
      </c>
      <c r="C8" s="10" t="n">
        <v>654.8099999999999</v>
      </c>
      <c r="D8" s="10" t="n">
        <v>60</v>
      </c>
      <c r="E8" s="29">
        <f>(C8-B8)</f>
        <v/>
      </c>
      <c r="F8" s="29">
        <f>IF(E8&gt;0,E8,0)</f>
        <v/>
      </c>
      <c r="G8" s="30">
        <f>F8/$F$11</f>
        <v/>
      </c>
      <c r="J8" s="9" t="n"/>
      <c r="K8" s="97" t="n"/>
    </row>
    <row r="9">
      <c r="A9" s="6" t="inlineStr">
        <is>
          <t>Natural Gas</t>
        </is>
      </c>
      <c r="B9" s="8" t="n">
        <v>106529.07</v>
      </c>
      <c r="C9" s="8" t="n">
        <v>128015.91</v>
      </c>
      <c r="D9" s="10" t="n">
        <v>30</v>
      </c>
      <c r="E9" s="29">
        <f>(C9-B9)</f>
        <v/>
      </c>
      <c r="F9" s="29">
        <f>IF(E9&gt;0,E9,0)</f>
        <v/>
      </c>
      <c r="G9" s="30">
        <f>F9/$F$11</f>
        <v/>
      </c>
      <c r="J9" s="9" t="n"/>
      <c r="K9" s="97" t="n"/>
    </row>
    <row r="10">
      <c r="A10" s="6" t="inlineStr">
        <is>
          <t>Oil</t>
        </is>
      </c>
      <c r="B10" s="8" t="n">
        <v>1379.91</v>
      </c>
      <c r="C10" s="10" t="n">
        <v>683.79</v>
      </c>
      <c r="D10" s="10" t="n">
        <v>60</v>
      </c>
      <c r="E10" s="29">
        <f>(C10-B10)</f>
        <v/>
      </c>
      <c r="F10" s="29">
        <f>IF(E10&gt;0,E10,0)</f>
        <v/>
      </c>
      <c r="G10" s="30">
        <f>F10/$F$11</f>
        <v/>
      </c>
      <c r="J10" s="9" t="n"/>
      <c r="K10" s="97" t="n"/>
    </row>
    <row r="11" ht="15" customHeight="1" thickBot="1">
      <c r="A11" s="32" t="inlineStr">
        <is>
          <t>Total</t>
        </is>
      </c>
      <c r="B11" s="14">
        <f>SUM(B3:B10)</f>
        <v/>
      </c>
      <c r="C11" s="14">
        <f>SUM(C3:C10)</f>
        <v/>
      </c>
      <c r="D11" s="14" t="n"/>
      <c r="E11" s="29">
        <f>SUM(E3:E10)</f>
        <v/>
      </c>
      <c r="F11" s="29">
        <f>SUM(F3:F10)</f>
        <v/>
      </c>
      <c r="G11" s="30">
        <f>F11/$F$11</f>
        <v/>
      </c>
      <c r="K11" s="97" t="n"/>
    </row>
    <row r="12">
      <c r="A12" s="31" t="inlineStr">
        <is>
          <t>Imports</t>
        </is>
      </c>
      <c r="B12" s="12" t="n"/>
      <c r="C12" s="12" t="n"/>
      <c r="D12" s="13" t="n"/>
      <c r="E12" s="40" t="n"/>
      <c r="F12" s="26" t="n"/>
      <c r="G12" s="69" t="n"/>
    </row>
    <row r="13" ht="15" customHeight="1" thickBot="1">
      <c r="A13" s="11" t="inlineStr">
        <is>
          <t>USA</t>
        </is>
      </c>
      <c r="B13" s="68" t="n">
        <v>13813.51</v>
      </c>
      <c r="C13" s="251" t="n">
        <v>13813.51</v>
      </c>
      <c r="D13" s="252" t="inlineStr">
        <is>
          <t>-</t>
        </is>
      </c>
      <c r="E13" s="33" t="n"/>
      <c r="F13" s="253" t="n"/>
      <c r="G13" s="254" t="n"/>
    </row>
    <row r="14" hidden="1">
      <c r="A14" s="17" t="inlineStr">
        <is>
          <t>China</t>
        </is>
      </c>
      <c r="B14" s="14" t="inlineStr">
        <is>
          <t>-</t>
        </is>
      </c>
      <c r="C14" s="255">
        <f>222/1000</f>
        <v/>
      </c>
      <c r="D14" s="256" t="inlineStr">
        <is>
          <t>-</t>
        </is>
      </c>
      <c r="E14" s="257" t="inlineStr">
        <is>
          <t>-</t>
        </is>
      </c>
      <c r="F14" s="257" t="n"/>
      <c r="G14" s="257" t="n"/>
    </row>
    <row r="15" hidden="1">
      <c r="A15" s="17" t="inlineStr">
        <is>
          <t>Mexico</t>
        </is>
      </c>
      <c r="B15" s="14" t="inlineStr">
        <is>
          <t>-</t>
        </is>
      </c>
      <c r="C15" s="255">
        <f>29/1000</f>
        <v/>
      </c>
      <c r="D15" s="256" t="inlineStr">
        <is>
          <t>-</t>
        </is>
      </c>
      <c r="E15" s="257" t="inlineStr">
        <is>
          <t>-</t>
        </is>
      </c>
      <c r="F15" s="257" t="n"/>
      <c r="G15" s="257" t="n"/>
    </row>
    <row r="16" hidden="1">
      <c r="A16" s="17" t="inlineStr">
        <is>
          <t>Vietnam</t>
        </is>
      </c>
      <c r="B16" s="14" t="inlineStr">
        <is>
          <t>-</t>
        </is>
      </c>
      <c r="C16" s="255">
        <f>8/1000</f>
        <v/>
      </c>
      <c r="D16" s="256" t="inlineStr">
        <is>
          <t>-</t>
        </is>
      </c>
      <c r="E16" s="257" t="inlineStr">
        <is>
          <t>-</t>
        </is>
      </c>
      <c r="F16" s="257" t="n"/>
      <c r="G16" s="257" t="n"/>
    </row>
    <row r="17" hidden="1">
      <c r="A17" s="17" t="inlineStr">
        <is>
          <t>France</t>
        </is>
      </c>
      <c r="B17" s="14" t="inlineStr">
        <is>
          <t>-</t>
        </is>
      </c>
      <c r="C17" s="255">
        <f>1/1000</f>
        <v/>
      </c>
      <c r="D17" s="256" t="inlineStr">
        <is>
          <t>-</t>
        </is>
      </c>
      <c r="E17" s="257" t="inlineStr">
        <is>
          <t>-</t>
        </is>
      </c>
      <c r="F17" s="257" t="n"/>
      <c r="G17" s="257" t="n"/>
    </row>
    <row r="18" hidden="1">
      <c r="A18" s="17" t="inlineStr">
        <is>
          <t>Taiwan</t>
        </is>
      </c>
      <c r="B18" s="14" t="inlineStr">
        <is>
          <t>-</t>
        </is>
      </c>
      <c r="C18" s="255">
        <f>10/1000</f>
        <v/>
      </c>
      <c r="D18" s="256" t="inlineStr">
        <is>
          <t>-</t>
        </is>
      </c>
      <c r="E18" s="257" t="inlineStr">
        <is>
          <t>-</t>
        </is>
      </c>
      <c r="F18" s="257" t="n"/>
      <c r="G18" s="257" t="n"/>
    </row>
    <row r="19" hidden="1">
      <c r="A19" s="17" t="inlineStr">
        <is>
          <t>United Kingdom</t>
        </is>
      </c>
      <c r="B19" s="14" t="n"/>
      <c r="C19" s="258" t="inlineStr">
        <is>
          <t>-</t>
        </is>
      </c>
      <c r="D19" s="256" t="n"/>
      <c r="E19" s="257" t="inlineStr">
        <is>
          <t>-</t>
        </is>
      </c>
      <c r="F19" s="257" t="n"/>
      <c r="G19" s="257" t="n"/>
    </row>
    <row r="20" hidden="1">
      <c r="A20" s="17" t="inlineStr">
        <is>
          <t>Netherlands</t>
        </is>
      </c>
      <c r="B20" s="14" t="inlineStr">
        <is>
          <t>-</t>
        </is>
      </c>
      <c r="C20" s="255">
        <f>10/1000</f>
        <v/>
      </c>
      <c r="D20" s="256" t="inlineStr">
        <is>
          <t>-</t>
        </is>
      </c>
      <c r="E20" s="257" t="inlineStr">
        <is>
          <t>-</t>
        </is>
      </c>
      <c r="F20" s="257" t="n"/>
      <c r="G20" s="257" t="n"/>
    </row>
    <row r="21">
      <c r="A21" s="17" t="n"/>
      <c r="B21" s="14" t="n"/>
      <c r="C21" s="22" t="n"/>
      <c r="D21" s="23" t="n"/>
    </row>
    <row r="22">
      <c r="A22" t="inlineStr">
        <is>
          <t>Normalized shares are computed over positive ΔV only (expanding suppliers). Contracting suppliers receive 0% share.</t>
        </is>
      </c>
    </row>
    <row r="24" ht="16" customHeight="1">
      <c r="A24" s="24" t="n"/>
      <c r="B24" s="24" t="n"/>
      <c r="C24" s="24" t="n"/>
      <c r="D24" s="24" t="n"/>
      <c r="E24" s="24" t="n"/>
      <c r="F24" s="24" t="n"/>
      <c r="G24" s="24" t="n"/>
    </row>
    <row r="25" ht="16" customHeight="1">
      <c r="A25" s="24" t="n"/>
      <c r="B25" s="24" t="n"/>
      <c r="C25" s="24" t="n"/>
      <c r="D25" s="24" t="n"/>
      <c r="E25" s="24" t="n"/>
      <c r="F25" s="24" t="n"/>
      <c r="G25" s="24" t="n"/>
    </row>
    <row r="26" ht="16" customHeight="1">
      <c r="A26" s="24" t="n"/>
      <c r="B26" s="24" t="n"/>
      <c r="C26" s="24" t="n"/>
      <c r="D26" s="24" t="n"/>
      <c r="E26" s="24" t="n"/>
      <c r="F26" s="24" t="n"/>
      <c r="G26" s="24" t="n"/>
    </row>
    <row r="27" ht="16" customHeight="1">
      <c r="A27" s="24" t="n"/>
      <c r="B27" s="24" t="n"/>
      <c r="C27" s="24" t="n"/>
      <c r="D27" s="24" t="n"/>
      <c r="E27" s="24" t="n"/>
      <c r="F27" s="24" t="n"/>
      <c r="G27" s="24" t="n"/>
    </row>
  </sheetData>
  <mergeCells count="1"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Marley Dowling</dc:creator>
  <dcterms:created xmlns:dcterms="http://purl.org/dc/terms/" xmlns:xsi="http://www.w3.org/2001/XMLSchema-instance" xsi:type="dcterms:W3CDTF">2026-01-09T16:35:43Z</dcterms:created>
  <dcterms:modified xmlns:dcterms="http://purl.org/dc/terms/" xmlns:xsi="http://www.w3.org/2001/XMLSchema-instance" xsi:type="dcterms:W3CDTF">2026-03-11T18:19:31Z</dcterms:modified>
  <cp:lastModifiedBy>Marley Dowling</cp:lastModifiedBy>
</cp:coreProperties>
</file>